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转会市场" sheetId="2" r:id="rId1"/>
    <sheet name="交易历史" sheetId="3" r:id="rId2"/>
    <sheet name="队伍总览 " sheetId="4" r:id="rId3"/>
    <sheet name="队伍收入状况 " sheetId="5" r:id="rId4"/>
    <sheet name="第一轮比赛" sheetId="6" r:id="rId5"/>
    <sheet name="比赛规则 " sheetId="7" r:id="rId6"/>
    <sheet name="报名表" sheetId="8" r:id="rId7"/>
  </sheets>
  <definedNames>
    <definedName name="_xlnm._FilterDatabase" localSheetId="6" hidden="1">报名表!$A$1:$M$123</definedName>
    <definedName name="WebWps_Form">报名表!$A$1:$M$123</definedName>
    <definedName name="WebWps_Form" localSheetId="0">#REF!</definedName>
    <definedName name="WebWps_Form" localSheetId="1">#REF!</definedName>
    <definedName name="WebWps_Form" localSheetId="2">#REF!</definedName>
    <definedName name="WebWps_Form" localSheetId="3">#REF!</definedName>
    <definedName name="WebWps_Form" localSheetId="4">#REF!</definedName>
    <definedName name="WebWps_Form" localSheetId="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<sst xmlns="http://schemas.openxmlformats.org/spreadsheetml/2006/main" count="2147" uniqueCount="995">
  <si>
    <t>2024年第二届梦幻联赛转会市场</t>
  </si>
  <si>
    <t>队伍名称</t>
  </si>
  <si>
    <t>队伍资金</t>
  </si>
  <si>
    <t>剩余资金（单位：W）</t>
  </si>
  <si>
    <t>账户状态</t>
  </si>
  <si>
    <t>队长名</t>
  </si>
  <si>
    <t>【CbHz】吃饱喝足就是玩</t>
  </si>
  <si>
    <t>冲锋</t>
  </si>
  <si>
    <t>【SSR】Superior Super Rare</t>
  </si>
  <si>
    <t>图派克</t>
  </si>
  <si>
    <t>【OldH】老H犟嘴</t>
  </si>
  <si>
    <t>凯撒</t>
  </si>
  <si>
    <t>【AWO】逃出生天</t>
  </si>
  <si>
    <t>小山楂</t>
  </si>
  <si>
    <t>【G2】G2‭</t>
  </si>
  <si>
    <t>米子</t>
  </si>
  <si>
    <t>【TV】Team Vitality</t>
  </si>
  <si>
    <t>赵毅</t>
  </si>
  <si>
    <t>【Miniworld】迷你世界</t>
  </si>
  <si>
    <t>nane</t>
  </si>
  <si>
    <t>【NikoFC】NikoCN Fanclub</t>
  </si>
  <si>
    <t>梅森</t>
  </si>
  <si>
    <t>常用昵称</t>
  </si>
  <si>
    <t>报名ID</t>
  </si>
  <si>
    <t>最高身价（单位：W）</t>
  </si>
  <si>
    <t>当前队伍</t>
  </si>
  <si>
    <t>球员目前状态</t>
  </si>
  <si>
    <t>xiaoliyu</t>
  </si>
  <si>
    <t>JackeyLove</t>
  </si>
  <si>
    <t>小鱼</t>
  </si>
  <si>
    <t>18SadYu</t>
  </si>
  <si>
    <t>Mengdong</t>
  </si>
  <si>
    <t>awe23</t>
  </si>
  <si>
    <t>Lezafans</t>
  </si>
  <si>
    <t>史蒂夫</t>
  </si>
  <si>
    <t>[Vinland]Steve</t>
  </si>
  <si>
    <t>f4</t>
  </si>
  <si>
    <t>quandouwushILing</t>
  </si>
  <si>
    <t>Bonaoart</t>
  </si>
  <si>
    <t>Bonapart</t>
  </si>
  <si>
    <t>哭丧</t>
  </si>
  <si>
    <t>KUSANAGE</t>
  </si>
  <si>
    <t>abin</t>
  </si>
  <si>
    <t>GJY</t>
  </si>
  <si>
    <t>Ak King</t>
  </si>
  <si>
    <t>AP-20</t>
  </si>
  <si>
    <t>王水灵</t>
  </si>
  <si>
    <t>wsl</t>
  </si>
  <si>
    <t>豆子</t>
  </si>
  <si>
    <t>HeiAnZhiWang</t>
  </si>
  <si>
    <t>果猫</t>
  </si>
  <si>
    <t>sichuanmei</t>
  </si>
  <si>
    <t>233laoye</t>
  </si>
  <si>
    <t>Super_Seal</t>
  </si>
  <si>
    <t>Tatum</t>
  </si>
  <si>
    <t>KillerQuin</t>
  </si>
  <si>
    <t>qifenzu</t>
  </si>
  <si>
    <t>罗加</t>
  </si>
  <si>
    <t>ZhouBaiYa</t>
  </si>
  <si>
    <t>Luvv</t>
  </si>
  <si>
    <t>05</t>
  </si>
  <si>
    <t>老鱼</t>
  </si>
  <si>
    <t>566</t>
  </si>
  <si>
    <t>艾拉AL</t>
  </si>
  <si>
    <t>Wushenglinglu</t>
  </si>
  <si>
    <t>孟起</t>
  </si>
  <si>
    <t>RuoZhi</t>
  </si>
  <si>
    <t>Mliya</t>
  </si>
  <si>
    <t>twocat</t>
  </si>
  <si>
    <t>catman</t>
  </si>
  <si>
    <t>500</t>
  </si>
  <si>
    <t>Charlotte</t>
  </si>
  <si>
    <t xml:space="preserve">HorN_kukuko
</t>
  </si>
  <si>
    <t>kukuko</t>
  </si>
  <si>
    <t>AQI</t>
  </si>
  <si>
    <t>Yoshino</t>
  </si>
  <si>
    <t>宝爹</t>
  </si>
  <si>
    <t>Pageup</t>
  </si>
  <si>
    <t xml:space="preserve">jmz </t>
  </si>
  <si>
    <t>jmz</t>
  </si>
  <si>
    <t>骑砍皇帝</t>
  </si>
  <si>
    <t>Tyatya_Gucci</t>
  </si>
  <si>
    <t>苏西斯</t>
  </si>
  <si>
    <t>Animula_Choragi</t>
  </si>
  <si>
    <t>Add</t>
  </si>
  <si>
    <t>Ezio</t>
  </si>
  <si>
    <t>MisakaEzio</t>
  </si>
  <si>
    <t>Goganpa</t>
  </si>
  <si>
    <t>YQS_dou_dou</t>
  </si>
  <si>
    <t>baimayinqiang</t>
  </si>
  <si>
    <t>Iyin</t>
  </si>
  <si>
    <t>淫荡</t>
  </si>
  <si>
    <t>KT_Bili1620342</t>
  </si>
  <si>
    <t>IC</t>
  </si>
  <si>
    <t>_IC</t>
  </si>
  <si>
    <t>xiaoye</t>
  </si>
  <si>
    <t>YQS_Cross</t>
  </si>
  <si>
    <t>comet</t>
  </si>
  <si>
    <t>diyuluguan</t>
  </si>
  <si>
    <t>KR_YuXuan</t>
  </si>
  <si>
    <t>huashounanhai</t>
  </si>
  <si>
    <t>DH</t>
  </si>
  <si>
    <t>MANGOL</t>
  </si>
  <si>
    <t>_</t>
  </si>
  <si>
    <t>ai</t>
  </si>
  <si>
    <t>小捷豹</t>
  </si>
  <si>
    <t>19pig</t>
  </si>
  <si>
    <t>Gad_ALiang</t>
  </si>
  <si>
    <t>威廉</t>
  </si>
  <si>
    <t>Oasis</t>
  </si>
  <si>
    <t>卡皇</t>
  </si>
  <si>
    <t>parrot</t>
  </si>
  <si>
    <t>MINI_Xiaoxiao</t>
  </si>
  <si>
    <t>芬克</t>
  </si>
  <si>
    <t>Fenker</t>
  </si>
  <si>
    <t>Motochika</t>
  </si>
  <si>
    <t>Able</t>
  </si>
  <si>
    <t>Workwork</t>
  </si>
  <si>
    <t>末影</t>
  </si>
  <si>
    <t>lxclxc</t>
  </si>
  <si>
    <t>城府</t>
  </si>
  <si>
    <t>Jinzhaojianzhidieyunchu</t>
  </si>
  <si>
    <t>苏雨晴</t>
  </si>
  <si>
    <t>Elucoco</t>
  </si>
  <si>
    <t>Lezalit</t>
  </si>
  <si>
    <t>Yuukasama</t>
  </si>
  <si>
    <t>knightzz</t>
  </si>
  <si>
    <t>天帝哥哥</t>
  </si>
  <si>
    <t>TianDi</t>
  </si>
  <si>
    <t>冷夜</t>
  </si>
  <si>
    <t>LengYe</t>
  </si>
  <si>
    <t>大聪明、呆呆</t>
  </si>
  <si>
    <t>DaCongMing</t>
  </si>
  <si>
    <t>退休老人野望</t>
  </si>
  <si>
    <t>Retired older</t>
  </si>
  <si>
    <t>LSSL</t>
  </si>
  <si>
    <t>shiran</t>
  </si>
  <si>
    <t>sy72sdf</t>
  </si>
  <si>
    <t>Maverick</t>
  </si>
  <si>
    <t>阿氰</t>
  </si>
  <si>
    <t>Clyde</t>
  </si>
  <si>
    <t>凯德</t>
  </si>
  <si>
    <t>Nature</t>
  </si>
  <si>
    <t>havoc</t>
  </si>
  <si>
    <t>huitailang</t>
  </si>
  <si>
    <t>1911/Dogmeat</t>
  </si>
  <si>
    <t>1911</t>
  </si>
  <si>
    <t>比伯</t>
  </si>
  <si>
    <t>Pocky</t>
  </si>
  <si>
    <t>XiaoRen</t>
  </si>
  <si>
    <t>回火的头盖骨</t>
  </si>
  <si>
    <t>SKULL</t>
  </si>
  <si>
    <t>mama</t>
  </si>
  <si>
    <t>KT_riva</t>
  </si>
  <si>
    <t>riva</t>
  </si>
  <si>
    <t>chengcheng</t>
  </si>
  <si>
    <t>houtui</t>
  </si>
  <si>
    <t>lirene</t>
  </si>
  <si>
    <t>Smile</t>
  </si>
  <si>
    <t>武田</t>
  </si>
  <si>
    <t>Takeda</t>
  </si>
  <si>
    <t>大西瓜</t>
  </si>
  <si>
    <t>Guomao</t>
  </si>
  <si>
    <t>白露</t>
  </si>
  <si>
    <t>FELIX</t>
  </si>
  <si>
    <t>wind</t>
  </si>
  <si>
    <t>波澜</t>
  </si>
  <si>
    <t>Bolan</t>
  </si>
  <si>
    <t>YQS-Laozhongzhu</t>
  </si>
  <si>
    <t>TNT</t>
  </si>
  <si>
    <t>2CiYuan</t>
  </si>
  <si>
    <t>天将</t>
  </si>
  <si>
    <t>GeBuLin</t>
  </si>
  <si>
    <t>Rapier</t>
  </si>
  <si>
    <t>鸡头</t>
  </si>
  <si>
    <t>GMM</t>
  </si>
  <si>
    <t>888</t>
  </si>
  <si>
    <t>Doraemon</t>
  </si>
  <si>
    <t>午马</t>
  </si>
  <si>
    <t>WuMA</t>
  </si>
  <si>
    <t>xp</t>
  </si>
  <si>
    <t>biaoqiang</t>
  </si>
  <si>
    <t>帅比大</t>
  </si>
  <si>
    <t>shuaibida</t>
  </si>
  <si>
    <t>雪猫</t>
  </si>
  <si>
    <t>Flower</t>
  </si>
  <si>
    <t>腻长官</t>
  </si>
  <si>
    <t>Neebs</t>
  </si>
  <si>
    <t>陈旭然</t>
  </si>
  <si>
    <t>Top</t>
  </si>
  <si>
    <t>Demo</t>
  </si>
  <si>
    <t>Lemonade</t>
  </si>
  <si>
    <t>loopy</t>
  </si>
  <si>
    <t>嘎巴</t>
  </si>
  <si>
    <t>Kawaragi_Momoka</t>
  </si>
  <si>
    <t>抖了抖</t>
  </si>
  <si>
    <t>Guangqishi19</t>
  </si>
  <si>
    <t>HaiKou</t>
  </si>
  <si>
    <t>taikula</t>
  </si>
  <si>
    <t>行六水</t>
  </si>
  <si>
    <t>xing666shui</t>
  </si>
  <si>
    <t>无敌帅哥张顺飞</t>
  </si>
  <si>
    <t>Fantasy</t>
  </si>
  <si>
    <t>88P</t>
  </si>
  <si>
    <t>HooXi</t>
  </si>
  <si>
    <t>00000000001</t>
  </si>
  <si>
    <t>XiaoXiaoHai</t>
  </si>
  <si>
    <t>jkjkmn</t>
  </si>
  <si>
    <t>112</t>
  </si>
  <si>
    <t>dandao</t>
  </si>
  <si>
    <t>JiaRan</t>
  </si>
  <si>
    <t>Haruki</t>
  </si>
  <si>
    <t>pipi</t>
  </si>
  <si>
    <t>Ntfei</t>
  </si>
  <si>
    <t>52</t>
  </si>
  <si>
    <t>ABF-099</t>
  </si>
  <si>
    <t>牢云</t>
  </si>
  <si>
    <t>OldCloud</t>
  </si>
  <si>
    <t>球员昵称</t>
  </si>
  <si>
    <t>交易价格</t>
  </si>
  <si>
    <t>买入队伍</t>
  </si>
  <si>
    <t>卖出队伍</t>
  </si>
  <si>
    <t>交易窗口</t>
  </si>
  <si>
    <t>最终归属队伍</t>
  </si>
  <si>
    <t>最高身价</t>
  </si>
  <si>
    <t>首轮交易</t>
  </si>
  <si>
    <t>【Cbhz】吃饱喝足就是玩
&lt;1944993273&gt;</t>
  </si>
  <si>
    <t>【SSR】Superior Super Rare
&lt;2764659592&gt;</t>
  </si>
  <si>
    <t>【OldH】老H犟嘴
&lt;3320553061&gt;</t>
  </si>
  <si>
    <t>【AWO】逃出生天
&lt;740221391&gt;</t>
  </si>
  <si>
    <t>身价（单位:w）</t>
  </si>
  <si>
    <t>梦幻联赛ID</t>
  </si>
  <si>
    <t>Cooper</t>
  </si>
  <si>
    <t>总身价</t>
  </si>
  <si>
    <t>【G2】G2
 &lt;2682175052&gt;</t>
  </si>
  <si>
    <t>【TV】Team Vitality
 &lt;1574911366&gt;</t>
  </si>
  <si>
    <t>【Miniworld】迷你世界
 &lt;2668013893&gt;</t>
  </si>
  <si>
    <t>【NikoFC】NikoCN Fanclub
 &lt;1847932439&gt;</t>
  </si>
  <si>
    <t>Zekken</t>
  </si>
  <si>
    <t>zy</t>
  </si>
  <si>
    <t>骑砍真神</t>
  </si>
  <si>
    <t/>
  </si>
  <si>
    <t>队长ID</t>
  </si>
  <si>
    <t>身价</t>
  </si>
  <si>
    <t>资金池</t>
  </si>
  <si>
    <t>剩余资金</t>
  </si>
  <si>
    <t>第一周奖金</t>
  </si>
  <si>
    <t>第二周奖金</t>
  </si>
  <si>
    <t>第三周奖金</t>
  </si>
  <si>
    <t>罚款</t>
  </si>
  <si>
    <t>道具使用</t>
  </si>
  <si>
    <t>积分表</t>
  </si>
  <si>
    <t>积分</t>
  </si>
  <si>
    <t>净胜分</t>
  </si>
  <si>
    <t>得分</t>
  </si>
  <si>
    <t>失分</t>
  </si>
  <si>
    <t>胜图数</t>
  </si>
  <si>
    <t>【Cbhz】</t>
  </si>
  <si>
    <t>【SSR】</t>
  </si>
  <si>
    <t>【OldH】</t>
  </si>
  <si>
    <t>【AWO】</t>
  </si>
  <si>
    <t>【G2】</t>
  </si>
  <si>
    <t>【TV】</t>
  </si>
  <si>
    <t>【Miniworld】</t>
  </si>
  <si>
    <t>【NikoFC】</t>
  </si>
  <si>
    <t>比赛奖励金</t>
  </si>
  <si>
    <t>小分奖励</t>
  </si>
  <si>
    <t>胜图奖励</t>
  </si>
  <si>
    <t>劣势奖励</t>
  </si>
  <si>
    <t>总奖励</t>
  </si>
  <si>
    <t>对战表</t>
  </si>
  <si>
    <t>比赛时间</t>
  </si>
  <si>
    <t>比赛服务器</t>
  </si>
  <si>
    <t>比赛裁判</t>
  </si>
  <si>
    <t>比赛轮次</t>
  </si>
  <si>
    <t>队伍</t>
  </si>
  <si>
    <t>胜利图数</t>
  </si>
  <si>
    <t>队伍总身价</t>
  </si>
  <si>
    <t>身价劣势队</t>
  </si>
  <si>
    <t>图一对战国家</t>
  </si>
  <si>
    <t>图二对战国家</t>
  </si>
  <si>
    <t>队伍上场人员1</t>
  </si>
  <si>
    <t>队伍上场人员2</t>
  </si>
  <si>
    <t>队伍上场人员3</t>
  </si>
  <si>
    <t>队伍上场人员4</t>
  </si>
  <si>
    <t>队伍上场人员5</t>
  </si>
  <si>
    <t>队伍上场人员6</t>
  </si>
  <si>
    <t>队伍上场人员7</t>
  </si>
  <si>
    <t>队伍上场人员8</t>
  </si>
  <si>
    <t>队伍上场人员9</t>
  </si>
  <si>
    <t>队伍上场人员10</t>
  </si>
  <si>
    <t>队伍上场人员11</t>
  </si>
  <si>
    <t>队伍上场人员12</t>
  </si>
  <si>
    <t>队伍上场人员13</t>
  </si>
  <si>
    <t>队伍上场人员14</t>
  </si>
  <si>
    <t>队伍上场人员15</t>
  </si>
  <si>
    <t>2024年8月9日 21:30:00</t>
  </si>
  <si>
    <t>CFWL_1</t>
  </si>
  <si>
    <t>比赛1</t>
  </si>
  <si>
    <t>诺德 Nord</t>
  </si>
  <si>
    <t>萨兰德 Sarranid</t>
  </si>
  <si>
    <t>罗多克 Rhodok</t>
  </si>
  <si>
    <t>斯瓦迪亚 Swadia</t>
  </si>
  <si>
    <t>CFWL_2</t>
  </si>
  <si>
    <t>比赛2</t>
  </si>
  <si>
    <t>CFWL_3</t>
  </si>
  <si>
    <t>比赛3</t>
  </si>
  <si>
    <t>CFWL_4</t>
  </si>
  <si>
    <t>比赛4</t>
  </si>
  <si>
    <t>2024年8月10日 20:30:00</t>
  </si>
  <si>
    <t>比赛5</t>
  </si>
  <si>
    <t>维基亚 Veagir</t>
  </si>
  <si>
    <t>比赛6</t>
  </si>
  <si>
    <t>2024年8月10日 21:30:00</t>
  </si>
  <si>
    <t>比赛7</t>
  </si>
  <si>
    <t>比赛8</t>
  </si>
  <si>
    <t>第一周比赛录像/直播</t>
  </si>
  <si>
    <t>主播ID</t>
  </si>
  <si>
    <t>直播地址</t>
  </si>
  <si>
    <t>录像地址</t>
  </si>
  <si>
    <t>KT_P</t>
  </si>
  <si>
    <t>https://live.bilibili.com/8210695</t>
  </si>
  <si>
    <t>翅膀</t>
  </si>
  <si>
    <t>https://live.bilibili.com/12782808</t>
  </si>
  <si>
    <t>Linder小明</t>
  </si>
  <si>
    <t>https://live.bilibili.com/949412</t>
  </si>
  <si>
    <t xml:space="preserve"> 2024年骑马与砍杀第二届梦幻联赛比赛介绍
</t>
  </si>
  <si>
    <t>https://kdocs.cn/l/cd1pt4d5tPbS</t>
  </si>
  <si>
    <t>拍卖流程</t>
  </si>
  <si>
    <t>1. 竞拍开始前，各队队长按要求进入腾讯会议，进入后，主持人将更改ID为序号，序号大小不决定出价顺序。</t>
  </si>
  <si>
    <t>2. 主持人介绍球员信息</t>
  </si>
  <si>
    <t>3. 队长出价，每位球员起价10w，每次加价必须10w的倍数，出价最高者获得对应的球员，首轮竞拍，最高价1000W</t>
  </si>
  <si>
    <t>4. 主持人喊三次当前最高价，若无更高价格，则成交；</t>
  </si>
  <si>
    <t>5. 无论任何情况，中途退出，失去的机会不做补偿，队伍名额未满，则随机获得剩余球员</t>
  </si>
  <si>
    <t>6. 资金不足问题</t>
  </si>
  <si>
    <t>➡️队长可当场向主持人申请使用备用金，但同时，该名队长的匿名状态将取消。</t>
  </si>
  <si>
    <t>➡️若队长本金及备用金均使用完毕,则随机获得流拍的球员。</t>
  </si>
  <si>
    <t>提交时间</t>
  </si>
  <si>
    <t>填写ID</t>
  </si>
  <si>
    <t>答题时间</t>
  </si>
  <si>
    <t>报名身份</t>
  </si>
  <si>
    <t xml:space="preserve"> 兵种偏好:骑兵</t>
  </si>
  <si>
    <t xml:space="preserve"> 兵种偏好:射手</t>
  </si>
  <si>
    <t xml:space="preserve"> 兵种偏好:步兵</t>
  </si>
  <si>
    <t>联系方式</t>
  </si>
  <si>
    <t>Guid</t>
  </si>
  <si>
    <t>中文站ID</t>
  </si>
  <si>
    <t>个人经历</t>
  </si>
  <si>
    <t>20240725234719915403395</t>
  </si>
  <si>
    <t>45秒</t>
  </si>
  <si>
    <t>队员</t>
  </si>
  <si>
    <t>射手</t>
  </si>
  <si>
    <t>2269640921</t>
  </si>
  <si>
    <t>zz1450564141</t>
  </si>
  <si>
    <t>参加过联赛</t>
  </si>
  <si>
    <t>20240726093705539074429</t>
  </si>
  <si>
    <t>42秒</t>
  </si>
  <si>
    <t>步兵</t>
  </si>
  <si>
    <t>242799690</t>
  </si>
  <si>
    <t>6116503</t>
  </si>
  <si>
    <t>生锈的smile</t>
  </si>
  <si>
    <t>20240726011956693794941</t>
  </si>
  <si>
    <t>1分23秒</t>
  </si>
  <si>
    <t>1909418646</t>
  </si>
  <si>
    <t>5807203</t>
  </si>
  <si>
    <t>TakedaWUTIAN</t>
  </si>
  <si>
    <t>参加过第11届战团联赛</t>
  </si>
  <si>
    <t>20240725235131496416331</t>
  </si>
  <si>
    <t>39秒</t>
  </si>
  <si>
    <t>843703100</t>
  </si>
  <si>
    <t>5803128</t>
  </si>
  <si>
    <t>呼唤君之名</t>
  </si>
  <si>
    <t>20240726000937109338199</t>
  </si>
  <si>
    <t>6分5秒</t>
  </si>
  <si>
    <t>骑兵</t>
  </si>
  <si>
    <t>QQ:2783366750</t>
  </si>
  <si>
    <t>5263885</t>
  </si>
  <si>
    <t>两届联赛经验，21年入坑，可能只有星期六能打这个比赛，其他时间来不了</t>
  </si>
  <si>
    <t>20240725232905546271332</t>
  </si>
  <si>
    <t>8分26秒</t>
  </si>
  <si>
    <t>QQ 3349220978</t>
  </si>
  <si>
    <t>5164741</t>
  </si>
  <si>
    <t>爱吃馒头的馒头</t>
  </si>
  <si>
    <t>参加过4届联赛，第一届梦幻联赛，第一届青训杯，时间较为充裕看情况可开麦</t>
  </si>
  <si>
    <t>20240725233016972064910</t>
  </si>
  <si>
    <t>4分21秒</t>
  </si>
  <si>
    <t>870595760</t>
  </si>
  <si>
    <t>4972218</t>
  </si>
  <si>
    <t>fishquin</t>
  </si>
  <si>
    <t>气氛组</t>
  </si>
  <si>
    <t>20240725233644458509365</t>
  </si>
  <si>
    <t>2分36秒</t>
  </si>
  <si>
    <t>队长</t>
  </si>
  <si>
    <t>chongfeng</t>
  </si>
  <si>
    <t>1944993273</t>
  </si>
  <si>
    <t>骚的冲锋桑</t>
  </si>
  <si>
    <t>我要屠凯撒</t>
  </si>
  <si>
    <t>20240725235943182206753</t>
  </si>
  <si>
    <t>1分17秒</t>
  </si>
  <si>
    <t>qq 2740432048</t>
  </si>
  <si>
    <t>4785445</t>
  </si>
  <si>
    <t>f44444444444444</t>
  </si>
  <si>
    <t>老兵</t>
  </si>
  <si>
    <t>20240726041648511309963</t>
  </si>
  <si>
    <t>1分27秒</t>
  </si>
  <si>
    <t>2010770781</t>
  </si>
  <si>
    <t>4642229</t>
  </si>
  <si>
    <t>罗加伯爵</t>
  </si>
  <si>
    <t>2022青训杯冠军</t>
  </si>
  <si>
    <t>20240726022517789971631</t>
  </si>
  <si>
    <t>33秒</t>
  </si>
  <si>
    <t>qq2682175052</t>
  </si>
  <si>
    <t>3791589</t>
  </si>
  <si>
    <t>Yuuki优纪</t>
  </si>
  <si>
    <t>20240726004249356691674</t>
  </si>
  <si>
    <t>17分14秒</t>
  </si>
  <si>
    <t>3347949960</t>
  </si>
  <si>
    <t>3610305</t>
  </si>
  <si>
    <t>角蝰先锋</t>
  </si>
  <si>
    <t>第九、十、十一届中国战团联赛圣保罗农民兵</t>
  </si>
  <si>
    <t>20240726010052771168434</t>
  </si>
  <si>
    <t>1分48秒</t>
  </si>
  <si>
    <t>flamZ</t>
  </si>
  <si>
    <t>1574911366</t>
  </si>
  <si>
    <t>3474873</t>
  </si>
  <si>
    <t>ZhaoYiQiu</t>
  </si>
  <si>
    <t>永恒杀过血染</t>
  </si>
  <si>
    <t>20240726020200394322732</t>
  </si>
  <si>
    <t>35秒</t>
  </si>
  <si>
    <t>1659189684</t>
  </si>
  <si>
    <t>3345714</t>
  </si>
  <si>
    <t>公园里的火枪手</t>
  </si>
  <si>
    <t>20240726003813338157068</t>
  </si>
  <si>
    <t>3分52秒</t>
  </si>
  <si>
    <t>2650238647</t>
  </si>
  <si>
    <t>3225781</t>
  </si>
  <si>
    <t>SB_SXF</t>
  </si>
  <si>
    <t>教二狗骑兵</t>
  </si>
  <si>
    <t>20240726021413058813452</t>
  </si>
  <si>
    <t>2小时56分39秒</t>
  </si>
  <si>
    <t>1808926263</t>
  </si>
  <si>
    <t>2780258</t>
  </si>
  <si>
    <t>20240725235815988108857</t>
  </si>
  <si>
    <t>11分22秒</t>
  </si>
  <si>
    <t>3051597997</t>
  </si>
  <si>
    <t>1953383</t>
  </si>
  <si>
    <t>永恒世界两年十字军，两年血染，X服财产四百万。拿破仑74战队队员，曾參加GF2020。号角C队主力骑兵。雇佣兵3v3比赛6强。</t>
  </si>
  <si>
    <t>20240726111846890466746</t>
  </si>
  <si>
    <t>7分32秒</t>
  </si>
  <si>
    <t>QQ</t>
  </si>
  <si>
    <t>5582070</t>
  </si>
  <si>
    <t>懵懂的少年KING</t>
  </si>
  <si>
    <t>被冲锋教练高度评价为大傻逼</t>
  </si>
  <si>
    <t>20240726113039808925594</t>
  </si>
  <si>
    <t>2分8秒</t>
  </si>
  <si>
    <t>694593591</t>
  </si>
  <si>
    <t>4643949</t>
  </si>
  <si>
    <t>礙、</t>
  </si>
  <si>
    <t>20240726113315840520924</t>
  </si>
  <si>
    <t>54秒</t>
  </si>
  <si>
    <t>真的是abin</t>
  </si>
  <si>
    <t>20240726115135900208630</t>
  </si>
  <si>
    <t>2分6秒</t>
  </si>
  <si>
    <t>2104046389</t>
  </si>
  <si>
    <t>5707597</t>
  </si>
  <si>
    <t>guojingyuan36</t>
  </si>
  <si>
    <t>晨风骑士团队员</t>
  </si>
  <si>
    <t>20240726115207561571756</t>
  </si>
  <si>
    <t>8分36秒</t>
  </si>
  <si>
    <t>1741774416</t>
  </si>
  <si>
    <t>3119346</t>
  </si>
  <si>
    <t>233老爷</t>
  </si>
  <si>
    <t>CS卡拉迪亚战队狙击手</t>
  </si>
  <si>
    <t>20240726115456017661981</t>
  </si>
  <si>
    <t>5分22秒</t>
  </si>
  <si>
    <t>1447327451</t>
  </si>
  <si>
    <t>进击的哈老四</t>
  </si>
  <si>
    <t>完美世界竞技平台连云港NO20钻石S苏州第一职业技术学院NO1</t>
  </si>
  <si>
    <t>20240726115647544690891</t>
  </si>
  <si>
    <t>6分44秒</t>
  </si>
  <si>
    <t>qq：3163192342</t>
  </si>
  <si>
    <t>4292183</t>
  </si>
  <si>
    <t>mubuer</t>
  </si>
  <si>
    <t>20240726115844917712571</t>
  </si>
  <si>
    <t>2分15秒</t>
  </si>
  <si>
    <t>Young_Blood</t>
  </si>
  <si>
    <t>2764659592</t>
  </si>
  <si>
    <t>5427356</t>
  </si>
  <si>
    <t>无，石头缝蹦出来的</t>
  </si>
  <si>
    <t>20240726120310325402149</t>
  </si>
  <si>
    <t>2分14秒</t>
  </si>
  <si>
    <t>2370026738</t>
  </si>
  <si>
    <t>5220710</t>
  </si>
  <si>
    <t>vinland城府</t>
  </si>
  <si>
    <t>小学本人三道杠</t>
  </si>
  <si>
    <t>20240726120730693214908</t>
  </si>
  <si>
    <t>1分30秒</t>
  </si>
  <si>
    <t>2673127707</t>
  </si>
  <si>
    <t>3805880</t>
  </si>
  <si>
    <t>月色修罗</t>
  </si>
  <si>
    <t>弓马骑射，样样不精</t>
  </si>
  <si>
    <t>20240726125654102796292</t>
  </si>
  <si>
    <t>1分9秒</t>
  </si>
  <si>
    <t>qq3094742386</t>
  </si>
  <si>
    <t>2192046</t>
  </si>
  <si>
    <t>3094742386</t>
  </si>
  <si>
    <t>无</t>
  </si>
  <si>
    <t>20240726130430728255306</t>
  </si>
  <si>
    <t>1分41秒</t>
  </si>
  <si>
    <t>549636986</t>
  </si>
  <si>
    <t>4015008</t>
  </si>
  <si>
    <t>BattleField</t>
  </si>
  <si>
    <t>20240726130940947535010</t>
  </si>
  <si>
    <t>3分17秒</t>
  </si>
  <si>
    <t>710941977</t>
  </si>
  <si>
    <t>3529276</t>
  </si>
  <si>
    <t>steve211</t>
  </si>
  <si>
    <t>本人有过三段感情经历，第一任性格问题分手，第二任是我任性吵架，第三任是爱好圈子不同不合适。本人目前定居山东青岛，在一家xx公司任职。无房车压力，有意向者联系本人。</t>
  </si>
  <si>
    <t>20240726141911955235581</t>
  </si>
  <si>
    <t>44秒</t>
  </si>
  <si>
    <t>2817325645</t>
  </si>
  <si>
    <t>4532852</t>
  </si>
  <si>
    <t>qyy</t>
  </si>
  <si>
    <t>魔兽世界WLK NAXX后二+双龙 龙牙第68痛苦术士 开荒奥杜尔会修星</t>
  </si>
  <si>
    <t>吃饱喝足就是送</t>
  </si>
  <si>
    <t>20240726145614124070373</t>
  </si>
  <si>
    <t>1分10秒</t>
  </si>
  <si>
    <t>783292912</t>
  </si>
  <si>
    <t>3227770</t>
  </si>
  <si>
    <t>天帝TianDi</t>
  </si>
  <si>
    <t>我和你妈结婚</t>
  </si>
  <si>
    <t>20240726151906713203896</t>
  </si>
  <si>
    <t>1分58秒</t>
  </si>
  <si>
    <t>814358796</t>
  </si>
  <si>
    <t>3717691</t>
  </si>
  <si>
    <t>可爱猫</t>
  </si>
  <si>
    <t>17年老屁股</t>
  </si>
  <si>
    <t>20240726172248409390744</t>
  </si>
  <si>
    <t>16693037061</t>
  </si>
  <si>
    <t>4200705</t>
  </si>
  <si>
    <t>忘了</t>
  </si>
  <si>
    <t>utd队员</t>
  </si>
  <si>
    <t>20240726182940772154670</t>
  </si>
  <si>
    <t>9小时13分7秒</t>
  </si>
  <si>
    <t>1575898652</t>
  </si>
  <si>
    <t>3280527</t>
  </si>
  <si>
    <t>Leng夜</t>
  </si>
  <si>
    <t>20240726183747963727994</t>
  </si>
  <si>
    <t>1分52秒</t>
  </si>
  <si>
    <t>2264674470</t>
  </si>
  <si>
    <t>6004059</t>
  </si>
  <si>
    <t>qiuligao</t>
  </si>
  <si>
    <t>参加过第一次梦幻联赛，大头兵一个不用理会</t>
  </si>
  <si>
    <t>20240726184426653599205</t>
  </si>
  <si>
    <t>19986683039</t>
  </si>
  <si>
    <t>5634234</t>
  </si>
  <si>
    <t>纯萌新，给我分几个大腿</t>
  </si>
  <si>
    <t>20240726184840138402008</t>
  </si>
  <si>
    <t>11分15秒</t>
  </si>
  <si>
    <t>15871678798</t>
  </si>
  <si>
    <t>5796663</t>
  </si>
  <si>
    <t>阿祈</t>
  </si>
  <si>
    <t>23年战团中国联赛竞技组</t>
  </si>
  <si>
    <t>20240726190331642379040</t>
  </si>
  <si>
    <t>1分6秒</t>
  </si>
  <si>
    <t>qikanzhenshen</t>
  </si>
  <si>
    <t>1847932439</t>
  </si>
  <si>
    <t>2829498</t>
  </si>
  <si>
    <t>囚徒[已封禁]</t>
  </si>
  <si>
    <t>喜欢玩骑马与砍杀</t>
  </si>
  <si>
    <t>20240726190751384630095</t>
  </si>
  <si>
    <t>5分34秒</t>
  </si>
  <si>
    <t>2574208139</t>
  </si>
  <si>
    <t>4642268</t>
  </si>
  <si>
    <t>Aomine Daiki</t>
  </si>
  <si>
    <t>被二狗欺骗三年感情</t>
  </si>
  <si>
    <t>20240726191324646587673</t>
  </si>
  <si>
    <t>3分18秒</t>
  </si>
  <si>
    <t>2452364550</t>
  </si>
  <si>
    <t>2913957</t>
  </si>
  <si>
    <t>骑砍新人</t>
  </si>
  <si>
    <t>20240726192125990796099</t>
  </si>
  <si>
    <t>2分30秒</t>
  </si>
  <si>
    <t>446957708</t>
  </si>
  <si>
    <t>443377</t>
  </si>
  <si>
    <t>历史的野望</t>
  </si>
  <si>
    <t>多年不玩骑砍的骑友</t>
  </si>
  <si>
    <t>20240726194635071141728</t>
  </si>
  <si>
    <t>QQ-3491018506</t>
  </si>
  <si>
    <t>5519439</t>
  </si>
  <si>
    <t>20240726200535635710886</t>
  </si>
  <si>
    <t>2分</t>
  </si>
  <si>
    <t>492997924</t>
  </si>
  <si>
    <t>5266925</t>
  </si>
  <si>
    <t>qq492997924</t>
  </si>
  <si>
    <t>20240726204440378853802</t>
  </si>
  <si>
    <t>1分31秒</t>
  </si>
  <si>
    <t>1571944047</t>
  </si>
  <si>
    <t xml:space="preserve">3693051
</t>
  </si>
  <si>
    <t>江湖小宝</t>
  </si>
  <si>
    <t>新人</t>
  </si>
  <si>
    <t>20240726204449446337053</t>
  </si>
  <si>
    <t>43秒</t>
  </si>
  <si>
    <t>2535475829</t>
  </si>
  <si>
    <t>3019110</t>
  </si>
  <si>
    <t>你ug大哥</t>
  </si>
  <si>
    <t>玩家</t>
  </si>
  <si>
    <t>20240726205712224027389</t>
  </si>
  <si>
    <t>4分31秒</t>
  </si>
  <si>
    <t>QQ 1621981624</t>
  </si>
  <si>
    <t>4599042</t>
  </si>
  <si>
    <t>20240726220045273904527</t>
  </si>
  <si>
    <t>34秒</t>
  </si>
  <si>
    <t>2743214782</t>
  </si>
  <si>
    <t>1860809</t>
  </si>
  <si>
    <t>1</t>
  </si>
  <si>
    <t>20240726221117521971734</t>
  </si>
  <si>
    <t>1分16秒</t>
  </si>
  <si>
    <t>3206137599qq</t>
  </si>
  <si>
    <t>4009597</t>
  </si>
  <si>
    <t xml:space="preserve"> 3373931</t>
  </si>
  <si>
    <t>两届联赛一届梦幻联赛一届青训</t>
  </si>
  <si>
    <t>20240726233028207506342</t>
  </si>
  <si>
    <t>10分10秒</t>
  </si>
  <si>
    <t>QQ:2779729583</t>
  </si>
  <si>
    <t>4810706</t>
  </si>
  <si>
    <t>十六个日夜的宵夜</t>
  </si>
  <si>
    <t>打过上一届梦幻联赛</t>
  </si>
  <si>
    <t>20240726235921656507330</t>
  </si>
  <si>
    <t>1分</t>
  </si>
  <si>
    <t>2272890004</t>
  </si>
  <si>
    <t>4153280</t>
  </si>
  <si>
    <t>直达天机</t>
  </si>
  <si>
    <t>20240727003130368561555</t>
  </si>
  <si>
    <t>2分57秒</t>
  </si>
  <si>
    <t>1657771401</t>
  </si>
  <si>
    <t>4858594</t>
  </si>
  <si>
    <t>咪西摩西</t>
  </si>
  <si>
    <t>两次联赛</t>
  </si>
  <si>
    <t>20240727004407029766008</t>
  </si>
  <si>
    <t>1分1秒</t>
  </si>
  <si>
    <t>2233596376</t>
  </si>
  <si>
    <t>3865769</t>
  </si>
  <si>
    <t>一梦俩三年.</t>
  </si>
  <si>
    <t>累</t>
  </si>
  <si>
    <t>20240727103510284829866</t>
  </si>
  <si>
    <t>59秒</t>
  </si>
  <si>
    <t>120260347</t>
  </si>
  <si>
    <t>2715677</t>
  </si>
  <si>
    <t>最近一年没玩过骑砍，不能开麦，晚上九点之后才有空，纯混子</t>
  </si>
  <si>
    <t>20240727105927105442568</t>
  </si>
  <si>
    <t>3分13秒</t>
  </si>
  <si>
    <t>1550682561qq</t>
  </si>
  <si>
    <t>4046117</t>
  </si>
  <si>
    <t>mmp233</t>
  </si>
  <si>
    <t>200小时的游戏经验</t>
  </si>
  <si>
    <t>20240727135618174165561</t>
  </si>
  <si>
    <t>50秒</t>
  </si>
  <si>
    <t>Arya</t>
  </si>
  <si>
    <t>3320553061</t>
  </si>
  <si>
    <t>4951826</t>
  </si>
  <si>
    <t>Julian-</t>
  </si>
  <si>
    <t>年年屠孙传庭</t>
  </si>
  <si>
    <t>20240727151233343264257</t>
  </si>
  <si>
    <t>2分7秒</t>
  </si>
  <si>
    <t>QQ464052159</t>
  </si>
  <si>
    <t>1953648</t>
  </si>
  <si>
    <t>342665399</t>
  </si>
  <si>
    <t>20240727152014016262940</t>
  </si>
  <si>
    <t>40秒</t>
  </si>
  <si>
    <t>1353258559</t>
  </si>
  <si>
    <t>2659289</t>
  </si>
  <si>
    <t>evakid</t>
  </si>
  <si>
    <t>20240727152531773127045</t>
  </si>
  <si>
    <t>4分25秒</t>
  </si>
  <si>
    <t>3199179003</t>
  </si>
  <si>
    <t>4852105</t>
  </si>
  <si>
    <t>laohaojie</t>
  </si>
  <si>
    <t>。。。</t>
  </si>
  <si>
    <t>20240727154329015994263</t>
  </si>
  <si>
    <t>13223728591</t>
  </si>
  <si>
    <t>3613642</t>
  </si>
  <si>
    <t>回火的手速刀</t>
  </si>
  <si>
    <t>纯精神小伙</t>
  </si>
  <si>
    <t>20240727174430617372003</t>
  </si>
  <si>
    <t>4分58秒</t>
  </si>
  <si>
    <t>QQ: 1521032645</t>
  </si>
  <si>
    <t>449488</t>
  </si>
  <si>
    <t>M1911A1手枪</t>
  </si>
  <si>
    <t>2021~2023在UTD参加联赛（主射手位辅步兵位） PS：近几月基本没碰过战团</t>
  </si>
  <si>
    <t>20240727212313956082457</t>
  </si>
  <si>
    <t>3分38秒</t>
  </si>
  <si>
    <t>756853064</t>
  </si>
  <si>
    <t>2921015</t>
  </si>
  <si>
    <t>YEs2Man</t>
  </si>
  <si>
    <t>30岁，已婚</t>
  </si>
  <si>
    <t>20240728124513956759300</t>
  </si>
  <si>
    <t>52秒</t>
  </si>
  <si>
    <t>247241560</t>
  </si>
  <si>
    <t>1222992</t>
  </si>
  <si>
    <t>YnDe</t>
  </si>
  <si>
    <t>吉祥物</t>
  </si>
  <si>
    <t>20240728145534392471330</t>
  </si>
  <si>
    <t>55秒</t>
  </si>
  <si>
    <t>qq2471651565</t>
  </si>
  <si>
    <t>3937497</t>
  </si>
  <si>
    <t>Ezraa</t>
  </si>
  <si>
    <t>读书</t>
  </si>
  <si>
    <t>20240728172650303840597</t>
  </si>
  <si>
    <t>9分46秒</t>
  </si>
  <si>
    <t>QQ：1317011026</t>
  </si>
  <si>
    <t>4651443</t>
  </si>
  <si>
    <t>忍共生</t>
  </si>
  <si>
    <t>20240728210739011781628</t>
  </si>
  <si>
    <t>9分15秒</t>
  </si>
  <si>
    <t>1427368289</t>
  </si>
  <si>
    <t>4536827</t>
  </si>
  <si>
    <t>20240728225216184550989</t>
  </si>
  <si>
    <t>27秒</t>
  </si>
  <si>
    <t>cooper</t>
  </si>
  <si>
    <t xml:space="preserve">MINI_Cooper
</t>
  </si>
  <si>
    <t>740221391</t>
  </si>
  <si>
    <t>443956</t>
  </si>
  <si>
    <t>无敌哈老大</t>
  </si>
  <si>
    <t>20240728225354885361279</t>
  </si>
  <si>
    <t>1分13秒</t>
  </si>
  <si>
    <t>823663769</t>
  </si>
  <si>
    <t>鹦鹉哒哒</t>
  </si>
  <si>
    <t>20240728234858682955988</t>
  </si>
  <si>
    <t>4分53秒</t>
  </si>
  <si>
    <t>2709845659</t>
  </si>
  <si>
    <t>5525508</t>
  </si>
  <si>
    <t>骑马与砍杀第十届C组参赛队员</t>
  </si>
  <si>
    <t>20240729023029669676733</t>
  </si>
  <si>
    <t>22秒</t>
  </si>
  <si>
    <t>Q 2668013893</t>
  </si>
  <si>
    <t>4502486</t>
  </si>
  <si>
    <t>赖茵-哈杰</t>
  </si>
  <si>
    <t>20240729044858917933308</t>
  </si>
  <si>
    <t>3分28秒</t>
  </si>
  <si>
    <t>qq 2909975390</t>
  </si>
  <si>
    <t>4555111</t>
  </si>
  <si>
    <t>239108348</t>
  </si>
  <si>
    <t>在维兰当大头兵</t>
  </si>
  <si>
    <t>20240729092520571508302</t>
  </si>
  <si>
    <t>3分9秒</t>
  </si>
  <si>
    <t>1785075609</t>
  </si>
  <si>
    <t>4736098</t>
  </si>
  <si>
    <t>狼牙琚哥</t>
  </si>
  <si>
    <t>3岁尿过床</t>
  </si>
  <si>
    <t>20240729105846970586021</t>
  </si>
  <si>
    <t>1分12秒</t>
  </si>
  <si>
    <t>qq 1730107756</t>
  </si>
  <si>
    <t>3752591</t>
  </si>
  <si>
    <t>meiqinmei</t>
  </si>
  <si>
    <t>20240729134603346787305</t>
  </si>
  <si>
    <t>415540173</t>
  </si>
  <si>
    <t>5479257</t>
  </si>
  <si>
    <t>弹剑作歌</t>
  </si>
  <si>
    <t>战团萌新，求指导。</t>
  </si>
  <si>
    <t>20240729153148983000050</t>
  </si>
  <si>
    <t>1分26秒</t>
  </si>
  <si>
    <t>ZywOo</t>
  </si>
  <si>
    <t>3249382810</t>
  </si>
  <si>
    <t>3976752</t>
  </si>
  <si>
    <t>20240729161725416362987</t>
  </si>
  <si>
    <t>*</t>
  </si>
  <si>
    <t>4461507</t>
  </si>
  <si>
    <t>20240729164640539031299</t>
  </si>
  <si>
    <t>49分40秒</t>
  </si>
  <si>
    <t>1287049681</t>
  </si>
  <si>
    <t>1220198</t>
  </si>
  <si>
    <t>XcreeperX</t>
  </si>
  <si>
    <t>20240729165741072786487</t>
  </si>
  <si>
    <t>2386824359 QQ</t>
  </si>
  <si>
    <t>5333974</t>
  </si>
  <si>
    <t>被6个领主砍</t>
  </si>
  <si>
    <t>会走道会攻击</t>
  </si>
  <si>
    <t>20240729175231838202115</t>
  </si>
  <si>
    <t>46秒</t>
  </si>
  <si>
    <t>1159033707</t>
  </si>
  <si>
    <t>4284921</t>
  </si>
  <si>
    <t>海里伤心的鱼</t>
  </si>
  <si>
    <t>20240729182705395074328</t>
  </si>
  <si>
    <t>1067444962</t>
  </si>
  <si>
    <t>5588188</t>
  </si>
  <si>
    <t>DarlingAL</t>
  </si>
  <si>
    <t>第一届梦幻联赛10w选手</t>
  </si>
  <si>
    <t>20240729192045154079449</t>
  </si>
  <si>
    <t>57秒</t>
  </si>
  <si>
    <t>1641315497</t>
  </si>
  <si>
    <t>3593795</t>
  </si>
  <si>
    <t>1641315497@qq.com</t>
  </si>
  <si>
    <t>2017年加入联机，从此玩永恒七八年</t>
  </si>
  <si>
    <t>20240729203401638901410</t>
  </si>
  <si>
    <t>664985529</t>
  </si>
  <si>
    <t>忘了，等会儿发冲锋或者哪个管理得了</t>
  </si>
  <si>
    <t>孟起萌妻梦琪</t>
  </si>
  <si>
    <t>尸体</t>
  </si>
  <si>
    <t>20240729210724921277669</t>
  </si>
  <si>
    <t>1分18秒</t>
  </si>
  <si>
    <t>1905579389</t>
  </si>
  <si>
    <t>3697168</t>
  </si>
  <si>
    <t>wrf521125</t>
  </si>
  <si>
    <t>透明</t>
  </si>
  <si>
    <t>20240729214123202983697</t>
  </si>
  <si>
    <t>2分24秒</t>
  </si>
  <si>
    <t>13165697006</t>
  </si>
  <si>
    <t>441770</t>
  </si>
  <si>
    <t>白骨的梦</t>
  </si>
  <si>
    <t>111</t>
  </si>
  <si>
    <t>20240729222434999317151</t>
  </si>
  <si>
    <t xml:space="preserve">1283169877                                                                </t>
  </si>
  <si>
    <t>3346121</t>
  </si>
  <si>
    <t>maomaoren</t>
  </si>
  <si>
    <t>只想打比赛</t>
  </si>
  <si>
    <t>20240730002053343665382</t>
  </si>
  <si>
    <t>5分14秒</t>
  </si>
  <si>
    <t>2025942511</t>
  </si>
  <si>
    <t>3285438</t>
  </si>
  <si>
    <t>Joker大魔王</t>
  </si>
  <si>
    <t>十年pw难凉热血</t>
  </si>
  <si>
    <t>20240730112939752210618</t>
  </si>
  <si>
    <t>？没有吗你.大号被封了.小号在群里</t>
  </si>
  <si>
    <t>2760196/2923288</t>
  </si>
  <si>
    <t>Vai_manmiao_0w0</t>
  </si>
  <si>
    <t>呵呵</t>
  </si>
  <si>
    <t>20240730114712162213333</t>
  </si>
  <si>
    <t>2382468326</t>
  </si>
  <si>
    <t>3612750</t>
  </si>
  <si>
    <t>大师的风格</t>
  </si>
  <si>
    <t>20240730125752739290905</t>
  </si>
  <si>
    <t>3分23秒</t>
  </si>
  <si>
    <t>2546614802</t>
  </si>
  <si>
    <t>3637648</t>
  </si>
  <si>
    <t>心冷</t>
  </si>
  <si>
    <t>我是小山楂的爹</t>
  </si>
  <si>
    <t>白露丶</t>
  </si>
  <si>
    <t>四届联赛，一届梦幻联赛</t>
  </si>
  <si>
    <t>20240731134947776175035</t>
  </si>
  <si>
    <t>7分43秒</t>
  </si>
  <si>
    <t>3090674563</t>
  </si>
  <si>
    <t>4094831</t>
  </si>
  <si>
    <t>一个人的独行</t>
  </si>
  <si>
    <t>6年骑砍联赛老菜鸟</t>
  </si>
  <si>
    <t>20240731144503702175477</t>
  </si>
  <si>
    <t>4分11秒</t>
  </si>
  <si>
    <t>1017541891@qq.com</t>
  </si>
  <si>
    <t>不懂</t>
  </si>
  <si>
    <t>不记得</t>
  </si>
  <si>
    <t>1500小时联机时长</t>
  </si>
  <si>
    <t>20240731155401399968693</t>
  </si>
  <si>
    <t>2831215360</t>
  </si>
  <si>
    <t>1973574</t>
  </si>
  <si>
    <t>Super_TNT</t>
  </si>
  <si>
    <t>第一届梦幻联赛冠军</t>
  </si>
  <si>
    <t>20240731161442390397415</t>
  </si>
  <si>
    <t>1分20秒</t>
  </si>
  <si>
    <t>1172160080</t>
  </si>
  <si>
    <t>4087139</t>
  </si>
  <si>
    <t>TCXJ</t>
  </si>
  <si>
    <t>没有经历</t>
  </si>
  <si>
    <t>20240801180043969403876</t>
  </si>
  <si>
    <t>qq2364427028</t>
  </si>
  <si>
    <t>4583656</t>
  </si>
  <si>
    <t>Swiss_Raper</t>
  </si>
  <si>
    <t>20240802145028338668866</t>
  </si>
  <si>
    <t>1分34秒</t>
  </si>
  <si>
    <t>729396351</t>
  </si>
  <si>
    <t>1274164</t>
  </si>
  <si>
    <t>zjyhhh</t>
  </si>
  <si>
    <t>20240802210648841236831</t>
  </si>
  <si>
    <t>1分11秒</t>
  </si>
  <si>
    <t>631748516</t>
  </si>
  <si>
    <t>4558825</t>
  </si>
  <si>
    <t>hdfasoi</t>
  </si>
  <si>
    <t>20240802211113616365770</t>
  </si>
  <si>
    <t>1565798068</t>
  </si>
  <si>
    <t>3725490</t>
  </si>
  <si>
    <t>老马子</t>
  </si>
  <si>
    <t>射不准</t>
  </si>
  <si>
    <t>20240802220206700239309</t>
  </si>
  <si>
    <t>Q2369610841</t>
  </si>
  <si>
    <t>1931629</t>
  </si>
  <si>
    <t>型号ａ伊卡洛斯</t>
  </si>
  <si>
    <t>爱玩标枪</t>
  </si>
  <si>
    <t>20240802220221179919677</t>
  </si>
  <si>
    <t>1分56秒</t>
  </si>
  <si>
    <t>3247736739qq</t>
  </si>
  <si>
    <t>4560154</t>
  </si>
  <si>
    <t>唐氏步兵</t>
  </si>
  <si>
    <t>20240802224028435949240</t>
  </si>
  <si>
    <t>2631710684</t>
  </si>
  <si>
    <t>1957404</t>
  </si>
  <si>
    <t>Blackalit</t>
  </si>
  <si>
    <t>20240803015511418493258</t>
  </si>
  <si>
    <t>4分33秒</t>
  </si>
  <si>
    <t>1085550449</t>
  </si>
  <si>
    <t>5025507</t>
  </si>
  <si>
    <t>NeebdBlyat</t>
  </si>
  <si>
    <t>22 23届ea骑兵</t>
  </si>
  <si>
    <t>20240803145235610988994</t>
  </si>
  <si>
    <t>38秒</t>
  </si>
  <si>
    <t>3412315804</t>
  </si>
  <si>
    <t>5834401</t>
  </si>
  <si>
    <t>20240803190023968759200</t>
  </si>
  <si>
    <t>3分47秒</t>
  </si>
  <si>
    <t>18271224845</t>
  </si>
  <si>
    <t>5302450</t>
  </si>
  <si>
    <t>15646464</t>
  </si>
  <si>
    <t>20240804010131623201052</t>
  </si>
  <si>
    <t>48秒</t>
  </si>
  <si>
    <t>QQ1365688792</t>
  </si>
  <si>
    <t>1218913</t>
  </si>
  <si>
    <t>我忘了才怪</t>
  </si>
  <si>
    <t>新人玩家</t>
  </si>
  <si>
    <t>20240804011429624321762</t>
  </si>
  <si>
    <t>3分59秒</t>
  </si>
  <si>
    <t>1260158480</t>
  </si>
  <si>
    <t>3376636</t>
  </si>
  <si>
    <t>屮屮-艸艸</t>
  </si>
  <si>
    <t>不是二次元</t>
  </si>
  <si>
    <t>20240804110850754676232</t>
  </si>
  <si>
    <t>1063506194</t>
  </si>
  <si>
    <t>4640223</t>
  </si>
  <si>
    <t>Dold</t>
  </si>
  <si>
    <t>20240804121817585043534</t>
  </si>
  <si>
    <t>1分45秒</t>
  </si>
  <si>
    <t>2907463705</t>
  </si>
  <si>
    <t>4995906</t>
  </si>
  <si>
    <t>大头盖骨制造者HaiKou</t>
  </si>
  <si>
    <t>睡</t>
  </si>
  <si>
    <t>20240804130646179908531</t>
  </si>
  <si>
    <t>2分3秒</t>
  </si>
  <si>
    <t>1577919533</t>
  </si>
  <si>
    <t>4638884</t>
  </si>
  <si>
    <t>行666水</t>
  </si>
  <si>
    <t>23年战团联赛西楚二队射手</t>
  </si>
  <si>
    <t>20240804194203825201933</t>
  </si>
  <si>
    <t>5分9秒</t>
  </si>
  <si>
    <t>123113525</t>
  </si>
  <si>
    <t>4188988</t>
  </si>
  <si>
    <t>单纯丶爱胖胖</t>
  </si>
  <si>
    <t>20240804213923164054013</t>
  </si>
  <si>
    <t>1分55秒</t>
  </si>
  <si>
    <t>312899953</t>
  </si>
  <si>
    <t>4644504</t>
  </si>
  <si>
    <t>Yukino88P</t>
  </si>
  <si>
    <t>没有爱情 没有事业</t>
  </si>
  <si>
    <t>20240804214142860454031</t>
  </si>
  <si>
    <t>2653772937</t>
  </si>
  <si>
    <t>5782359</t>
  </si>
  <si>
    <t>0000000000PAC</t>
  </si>
  <si>
    <t>我是骑马与砍杀玩家</t>
  </si>
  <si>
    <t>20240805115335802846641</t>
  </si>
  <si>
    <t>3分5秒</t>
  </si>
  <si>
    <t>550011899</t>
  </si>
  <si>
    <t>4942996</t>
  </si>
  <si>
    <t>高三牲 参考价30w</t>
  </si>
  <si>
    <t>20240805153914237926075</t>
  </si>
  <si>
    <t>qq 1120813911</t>
  </si>
  <si>
    <t>4984623</t>
  </si>
  <si>
    <t>大将军112</t>
  </si>
  <si>
    <t>我是大将军，懂得都懂</t>
  </si>
  <si>
    <t>20240805154005140365756</t>
  </si>
  <si>
    <t>18073164920</t>
  </si>
  <si>
    <t>4807512</t>
  </si>
  <si>
    <t>影杀天</t>
  </si>
  <si>
    <t>玩的不少但是技术很菜</t>
  </si>
  <si>
    <t>20240805161310799735782</t>
  </si>
  <si>
    <t>2分22秒</t>
  </si>
  <si>
    <t>2449973041</t>
  </si>
  <si>
    <t>4518328</t>
  </si>
  <si>
    <t>3173849</t>
  </si>
  <si>
    <t>你好</t>
  </si>
  <si>
    <t>20240805182552848838070</t>
  </si>
  <si>
    <t>QQ：1137566589</t>
  </si>
  <si>
    <t>1935763</t>
  </si>
  <si>
    <t>汽油老司机</t>
  </si>
  <si>
    <t>20240807174947442410617</t>
  </si>
  <si>
    <t>11分20秒</t>
  </si>
  <si>
    <t>2338557689</t>
  </si>
  <si>
    <t>3528788</t>
  </si>
  <si>
    <t>ntfei</t>
  </si>
  <si>
    <t>20240808194729979631081</t>
  </si>
  <si>
    <t>4分29秒</t>
  </si>
  <si>
    <t>869114738</t>
  </si>
  <si>
    <t>1221910</t>
  </si>
  <si>
    <t>黑色轻骑兵</t>
  </si>
  <si>
    <t>20240808195252176092323</t>
  </si>
  <si>
    <t>5分54秒</t>
  </si>
  <si>
    <t>1441131090</t>
  </si>
  <si>
    <t>1222395</t>
  </si>
  <si>
    <t>重剑灬阿加特</t>
  </si>
  <si>
    <t>第一届梦幻联赛老五亚军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</si>
</sst>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28"/>
      <color rgb="FFFFFFFF"/>
      <name val="微软雅黑"/>
      <charset val="134"/>
    </font>
    <font>
      <b/>
      <u/>
      <sz val="28"/>
      <color rgb="FF0000FF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FFFFFF"/>
      <name val="微软雅黑"/>
      <charset val="134"/>
    </font>
    <font>
      <b/>
      <sz val="14"/>
      <color rgb="FFFFFFFF"/>
      <name val="Segoe UI Emoji"/>
      <charset val="134"/>
    </font>
    <font>
      <b/>
      <sz val="15"/>
      <color theme="1"/>
      <name val="微软雅黑"/>
      <charset val="134"/>
    </font>
    <font>
      <u/>
      <sz val="10"/>
      <color rgb="FF0000FF"/>
      <name val="微软雅黑"/>
      <charset val="134"/>
    </font>
    <font>
      <sz val="16.5"/>
      <color theme="1"/>
      <name val="微软雅黑"/>
      <charset val="134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8"/>
      <color rgb="FF000000"/>
      <name val="微软雅黑"/>
      <charset val="134"/>
    </font>
    <font>
      <b/>
      <sz val="12"/>
      <color theme="1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20"/>
      <color theme="1"/>
      <name val="楷体"/>
      <charset val="134"/>
    </font>
    <font>
      <sz val="20"/>
      <color theme="1"/>
      <name val="宋体"/>
      <charset val="134"/>
      <scheme val="minor"/>
    </font>
    <font>
      <b/>
      <sz val="18"/>
      <color rgb="FF000000"/>
      <name val="楷体"/>
      <charset val="134"/>
    </font>
    <font>
      <b/>
      <sz val="20"/>
      <color theme="1"/>
      <name val="楷体"/>
      <charset val="134"/>
    </font>
    <font>
      <b/>
      <sz val="12"/>
      <color theme="0"/>
      <name val="微软雅黑"/>
      <charset val="134"/>
    </font>
    <font>
      <b/>
      <sz val="20"/>
      <color theme="1"/>
      <name val="微软雅黑"/>
      <charset val="134"/>
    </font>
    <font>
      <b/>
      <sz val="18"/>
      <color rgb="FFFFFFFF"/>
      <name val="楷体"/>
      <charset val="134"/>
    </font>
    <font>
      <b/>
      <sz val="20"/>
      <color rgb="FFFFFFFF"/>
      <name val="楷体"/>
      <charset val="134"/>
    </font>
    <font>
      <b/>
      <sz val="20"/>
      <color rgb="FFFFFFFF"/>
      <name val="微软雅黑"/>
      <charset val="134"/>
    </font>
    <font>
      <sz val="20"/>
      <color theme="1"/>
      <name val="微软雅黑"/>
      <charset val="134"/>
    </font>
    <font>
      <sz val="11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22"/>
      <color theme="1"/>
      <name val="微软雅黑"/>
      <charset val="134"/>
    </font>
    <font>
      <b/>
      <sz val="14"/>
      <color rgb="FFF4B183"/>
      <name val="微软雅黑"/>
      <charset val="134"/>
    </font>
    <font>
      <sz val="20"/>
      <color theme="0"/>
      <name val="微软雅黑"/>
      <charset val="134"/>
    </font>
    <font>
      <b/>
      <sz val="22"/>
      <color rgb="FF000000"/>
      <name val="微软雅黑"/>
      <charset val="134"/>
    </font>
    <font>
      <b/>
      <sz val="14"/>
      <color theme="0"/>
      <name val="微软雅黑"/>
      <charset val="134"/>
    </font>
    <font>
      <sz val="2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7030A0"/>
        <bgColor rgb="FF5B9BD5"/>
      </patternFill>
    </fill>
    <fill>
      <patternFill patternType="solid">
        <fgColor rgb="FFC8C8C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595959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EDEDED"/>
      </right>
      <top style="double">
        <color rgb="FF000000"/>
      </top>
      <bottom/>
      <diagonal/>
    </border>
    <border>
      <left style="double">
        <color rgb="FF000000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EDEDED"/>
      </right>
      <top style="double">
        <color rgb="FF000000"/>
      </top>
      <bottom/>
      <diagonal/>
    </border>
    <border>
      <left style="double">
        <color rgb="FF000000"/>
      </left>
      <right style="thin">
        <color rgb="FFEDEDED"/>
      </right>
      <top style="double">
        <color rgb="FF000000"/>
      </top>
      <bottom style="thin">
        <color rgb="FF000000"/>
      </bottom>
      <diagonal/>
    </border>
    <border>
      <left style="thin">
        <color rgb="FFEDEDED"/>
      </left>
      <right style="thin">
        <color rgb="FFEDEDED"/>
      </right>
      <top style="double">
        <color rgb="FF000000"/>
      </top>
      <bottom style="thin">
        <color rgb="FF000000"/>
      </bottom>
      <diagonal/>
    </border>
    <border>
      <left style="thin">
        <color rgb="FFEDEDED"/>
      </left>
      <right style="double">
        <color rgb="FF000000"/>
      </right>
      <top style="double">
        <color rgb="FF000000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25" borderId="38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9" applyNumberFormat="0" applyFill="0" applyAlignment="0" applyProtection="0">
      <alignment vertical="center"/>
    </xf>
    <xf numFmtId="0" fontId="52" fillId="0" borderId="39" applyNumberFormat="0" applyFill="0" applyAlignment="0" applyProtection="0">
      <alignment vertical="center"/>
    </xf>
    <xf numFmtId="0" fontId="53" fillId="0" borderId="4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6" borderId="41" applyNumberFormat="0" applyAlignment="0" applyProtection="0">
      <alignment vertical="center"/>
    </xf>
    <xf numFmtId="0" fontId="55" fillId="27" borderId="42" applyNumberFormat="0" applyAlignment="0" applyProtection="0">
      <alignment vertical="center"/>
    </xf>
    <xf numFmtId="0" fontId="56" fillId="27" borderId="41" applyNumberFormat="0" applyAlignment="0" applyProtection="0">
      <alignment vertical="center"/>
    </xf>
    <xf numFmtId="0" fontId="57" fillId="28" borderId="43" applyNumberFormat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9" fillId="0" borderId="45" applyNumberFormat="0" applyFill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22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22" fontId="1" fillId="2" borderId="0" xfId="0" applyNumberFormat="1" applyFont="1" applyFill="1" applyAlignment="1">
      <alignment horizontal="left" vertical="center"/>
    </xf>
    <xf numFmtId="22" fontId="1" fillId="3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4" borderId="0" xfId="6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6" applyNumberFormat="1" applyFont="1" applyFill="1" applyBorder="1" applyAlignment="1" applyProtection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2" fillId="0" borderId="0" xfId="6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18" borderId="2" xfId="0" applyFont="1" applyFill="1" applyBorder="1" applyAlignment="1">
      <alignment horizontal="center" vertical="center"/>
    </xf>
    <xf numFmtId="0" fontId="0" fillId="0" borderId="11" xfId="0" applyFont="1" applyFill="1" applyBorder="1" applyAlignment="1"/>
    <xf numFmtId="0" fontId="0" fillId="0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18" borderId="7" xfId="0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0" fontId="0" fillId="18" borderId="3" xfId="0" applyFont="1" applyFill="1" applyBorder="1" applyAlignment="1">
      <alignment horizontal="center" vertical="center"/>
    </xf>
    <xf numFmtId="0" fontId="0" fillId="18" borderId="8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 wrapText="1"/>
    </xf>
    <xf numFmtId="0" fontId="26" fillId="7" borderId="13" xfId="0" applyFont="1" applyFill="1" applyBorder="1" applyAlignment="1">
      <alignment horizontal="center" vertical="center"/>
    </xf>
    <xf numFmtId="0" fontId="27" fillId="20" borderId="0" xfId="0" applyFont="1" applyFill="1" applyAlignment="1" applyProtection="1">
      <alignment horizontal="center" vertical="center"/>
      <protection locked="0"/>
    </xf>
    <xf numFmtId="0" fontId="26" fillId="20" borderId="0" xfId="0" applyFont="1" applyFill="1" applyAlignment="1">
      <alignment horizontal="center" vertical="center" wrapText="1"/>
    </xf>
    <xf numFmtId="0" fontId="27" fillId="20" borderId="0" xfId="0" applyFont="1" applyFill="1" applyAlignment="1">
      <alignment horizontal="center" vertical="center" wrapText="1"/>
    </xf>
    <xf numFmtId="0" fontId="26" fillId="20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26" fillId="8" borderId="13" xfId="0" applyFont="1" applyFill="1" applyBorder="1" applyAlignment="1">
      <alignment horizontal="center" vertical="center"/>
    </xf>
    <xf numFmtId="0" fontId="26" fillId="9" borderId="13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26" fillId="11" borderId="13" xfId="0" applyFont="1" applyFill="1" applyBorder="1" applyAlignment="1">
      <alignment horizontal="center" vertical="center"/>
    </xf>
    <xf numFmtId="0" fontId="26" fillId="20" borderId="0" xfId="0" applyFont="1" applyFill="1" applyAlignment="1" applyProtection="1">
      <alignment horizontal="center" vertical="center"/>
      <protection locked="0"/>
    </xf>
    <xf numFmtId="0" fontId="26" fillId="12" borderId="13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0" fontId="27" fillId="20" borderId="7" xfId="0" applyFont="1" applyFill="1" applyBorder="1" applyAlignment="1" applyProtection="1">
      <alignment horizontal="center" vertical="center"/>
      <protection locked="0"/>
    </xf>
    <xf numFmtId="0" fontId="26" fillId="20" borderId="7" xfId="0" applyFont="1" applyFill="1" applyBorder="1" applyAlignment="1">
      <alignment horizontal="center" vertical="center" wrapText="1"/>
    </xf>
    <xf numFmtId="0" fontId="27" fillId="20" borderId="7" xfId="0" applyFont="1" applyFill="1" applyBorder="1" applyAlignment="1">
      <alignment horizontal="center" vertical="center" wrapText="1"/>
    </xf>
    <xf numFmtId="0" fontId="26" fillId="20" borderId="7" xfId="0" applyFont="1" applyFill="1" applyBorder="1" applyAlignment="1">
      <alignment horizontal="center" vertical="center"/>
    </xf>
    <xf numFmtId="0" fontId="27" fillId="20" borderId="7" xfId="0" applyFont="1" applyFill="1" applyBorder="1" applyAlignment="1">
      <alignment horizontal="center" vertical="center"/>
    </xf>
    <xf numFmtId="0" fontId="16" fillId="21" borderId="2" xfId="0" applyFont="1" applyFill="1" applyBorder="1" applyAlignment="1">
      <alignment horizontal="center" vertical="center"/>
    </xf>
    <xf numFmtId="0" fontId="16" fillId="22" borderId="3" xfId="0" applyFont="1" applyFill="1" applyBorder="1" applyAlignment="1">
      <alignment horizontal="center" vertical="center"/>
    </xf>
    <xf numFmtId="0" fontId="27" fillId="20" borderId="14" xfId="0" applyFont="1" applyFill="1" applyBorder="1" applyAlignment="1">
      <alignment horizontal="center" vertical="center"/>
    </xf>
    <xf numFmtId="0" fontId="27" fillId="20" borderId="8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0" fillId="7" borderId="1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31" fillId="0" borderId="0" xfId="0" applyFont="1" applyFill="1" applyAlignment="1">
      <alignment horizontal="center" vertical="center"/>
    </xf>
    <xf numFmtId="0" fontId="30" fillId="8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/>
    <xf numFmtId="0" fontId="0" fillId="0" borderId="18" xfId="0" applyFont="1" applyFill="1" applyBorder="1" applyAlignment="1"/>
    <xf numFmtId="0" fontId="32" fillId="17" borderId="19" xfId="0" applyFont="1" applyFill="1" applyBorder="1" applyAlignment="1">
      <alignment horizontal="center" vertical="center"/>
    </xf>
    <xf numFmtId="0" fontId="18" fillId="17" borderId="20" xfId="0" applyFont="1" applyFill="1" applyBorder="1" applyAlignment="1">
      <alignment horizontal="center" vertical="center"/>
    </xf>
    <xf numFmtId="0" fontId="18" fillId="17" borderId="2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21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center" vertical="center"/>
    </xf>
    <xf numFmtId="0" fontId="20" fillId="21" borderId="21" xfId="0" applyFont="1" applyFill="1" applyBorder="1" applyAlignment="1">
      <alignment horizontal="center" vertical="center"/>
    </xf>
    <xf numFmtId="0" fontId="20" fillId="7" borderId="19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33" fillId="7" borderId="21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0" xfId="0" applyFont="1" applyFill="1" applyBorder="1" applyAlignment="1">
      <alignment horizontal="center" vertical="center" wrapText="1"/>
    </xf>
    <xf numFmtId="0" fontId="33" fillId="8" borderId="21" xfId="0" applyFont="1" applyFill="1" applyBorder="1" applyAlignment="1">
      <alignment horizontal="center" vertical="center"/>
    </xf>
    <xf numFmtId="0" fontId="20" fillId="7" borderId="22" xfId="0" applyFont="1" applyFill="1" applyBorder="1" applyAlignment="1">
      <alignment horizontal="center" vertical="center" wrapText="1"/>
    </xf>
    <xf numFmtId="0" fontId="20" fillId="7" borderId="23" xfId="0" applyFont="1" applyFill="1" applyBorder="1" applyAlignment="1">
      <alignment horizontal="center" vertical="center" wrapText="1"/>
    </xf>
    <xf numFmtId="0" fontId="33" fillId="7" borderId="24" xfId="0" applyFont="1" applyFill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horizontal="center" vertical="center" wrapText="1"/>
    </xf>
    <xf numFmtId="0" fontId="20" fillId="7" borderId="26" xfId="0" applyFont="1" applyFill="1" applyBorder="1" applyAlignment="1">
      <alignment horizontal="center" vertical="center" wrapText="1"/>
    </xf>
    <xf numFmtId="0" fontId="33" fillId="7" borderId="27" xfId="0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 wrapText="1"/>
    </xf>
    <xf numFmtId="0" fontId="33" fillId="8" borderId="27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20" fillId="8" borderId="0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center" vertical="center" wrapText="1"/>
    </xf>
    <xf numFmtId="0" fontId="33" fillId="7" borderId="7" xfId="0" applyFont="1" applyFill="1" applyBorder="1" applyAlignment="1">
      <alignment horizontal="center" vertical="center" wrapText="1"/>
    </xf>
    <xf numFmtId="0" fontId="33" fillId="7" borderId="8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/>
    </xf>
    <xf numFmtId="0" fontId="33" fillId="8" borderId="6" xfId="0" applyFont="1" applyFill="1" applyBorder="1" applyAlignment="1">
      <alignment horizontal="center" vertical="center" wrapText="1"/>
    </xf>
    <xf numFmtId="0" fontId="33" fillId="8" borderId="7" xfId="0" applyFont="1" applyFill="1" applyBorder="1" applyAlignment="1">
      <alignment horizontal="center" vertical="center" wrapText="1"/>
    </xf>
    <xf numFmtId="0" fontId="33" fillId="8" borderId="8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34" fillId="11" borderId="28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horizontal="center" vertical="center"/>
    </xf>
    <xf numFmtId="0" fontId="34" fillId="12" borderId="28" xfId="0" applyFont="1" applyFill="1" applyBorder="1" applyAlignment="1">
      <alignment horizontal="center" vertical="center" wrapText="1"/>
    </xf>
    <xf numFmtId="0" fontId="17" fillId="23" borderId="29" xfId="0" applyFont="1" applyFill="1" applyBorder="1" applyAlignment="1">
      <alignment horizontal="center" vertical="center"/>
    </xf>
    <xf numFmtId="0" fontId="17" fillId="23" borderId="30" xfId="0" applyFont="1" applyFill="1" applyBorder="1" applyAlignment="1">
      <alignment horizontal="center" vertical="center"/>
    </xf>
    <xf numFmtId="0" fontId="17" fillId="23" borderId="31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 wrapText="1"/>
    </xf>
    <xf numFmtId="0" fontId="18" fillId="11" borderId="20" xfId="0" applyFont="1" applyFill="1" applyBorder="1" applyAlignment="1">
      <alignment horizontal="center" vertical="center" wrapText="1"/>
    </xf>
    <xf numFmtId="0" fontId="36" fillId="11" borderId="2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12" borderId="19" xfId="0" applyFont="1" applyFill="1" applyBorder="1" applyAlignment="1">
      <alignment horizontal="center" vertical="center" wrapText="1"/>
    </xf>
    <xf numFmtId="0" fontId="18" fillId="12" borderId="20" xfId="0" applyFont="1" applyFill="1" applyBorder="1" applyAlignment="1">
      <alignment horizontal="center" vertical="center" wrapText="1"/>
    </xf>
    <xf numFmtId="0" fontId="36" fillId="12" borderId="21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 wrapText="1"/>
    </xf>
    <xf numFmtId="0" fontId="18" fillId="11" borderId="23" xfId="0" applyFont="1" applyFill="1" applyBorder="1" applyAlignment="1">
      <alignment horizontal="center" vertical="center" wrapText="1"/>
    </xf>
    <xf numFmtId="0" fontId="36" fillId="11" borderId="24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36" fillId="12" borderId="24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36" fillId="11" borderId="27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 wrapText="1"/>
    </xf>
    <xf numFmtId="0" fontId="18" fillId="12" borderId="26" xfId="0" applyFont="1" applyFill="1" applyBorder="1" applyAlignment="1">
      <alignment horizontal="center" vertical="center" wrapText="1"/>
    </xf>
    <xf numFmtId="0" fontId="36" fillId="12" borderId="27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 wrapText="1"/>
    </xf>
    <xf numFmtId="0" fontId="18" fillId="11" borderId="0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18" fillId="12" borderId="0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36" fillId="11" borderId="6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center" vertical="center" wrapText="1"/>
    </xf>
    <xf numFmtId="0" fontId="36" fillId="11" borderId="8" xfId="0" applyFont="1" applyFill="1" applyBorder="1" applyAlignment="1">
      <alignment horizontal="center" vertical="center" wrapText="1"/>
    </xf>
    <xf numFmtId="0" fontId="36" fillId="12" borderId="6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center" vertical="center" wrapText="1"/>
    </xf>
    <xf numFmtId="0" fontId="30" fillId="9" borderId="16" xfId="0" applyFont="1" applyFill="1" applyBorder="1" applyAlignment="1">
      <alignment horizontal="center" vertical="center" wrapText="1"/>
    </xf>
    <xf numFmtId="0" fontId="30" fillId="10" borderId="16" xfId="0" applyFont="1" applyFill="1" applyBorder="1" applyAlignment="1">
      <alignment horizontal="center" vertical="center" wrapText="1"/>
    </xf>
    <xf numFmtId="0" fontId="17" fillId="21" borderId="19" xfId="0" applyFont="1" applyFill="1" applyBorder="1" applyAlignment="1">
      <alignment horizontal="center" vertical="center"/>
    </xf>
    <xf numFmtId="0" fontId="20" fillId="9" borderId="19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33" fillId="10" borderId="21" xfId="0" applyFont="1" applyFill="1" applyBorder="1" applyAlignment="1">
      <alignment horizontal="center" vertical="center"/>
    </xf>
    <xf numFmtId="0" fontId="20" fillId="9" borderId="22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33" fillId="9" borderId="24" xfId="0" applyFont="1" applyFill="1" applyBorder="1" applyAlignment="1">
      <alignment horizontal="center" vertical="center"/>
    </xf>
    <xf numFmtId="0" fontId="20" fillId="10" borderId="22" xfId="0" applyFont="1" applyFill="1" applyBorder="1" applyAlignment="1">
      <alignment horizontal="center" vertical="center" wrapText="1"/>
    </xf>
    <xf numFmtId="0" fontId="20" fillId="10" borderId="23" xfId="0" applyFont="1" applyFill="1" applyBorder="1" applyAlignment="1">
      <alignment horizontal="center" vertical="center" wrapText="1"/>
    </xf>
    <xf numFmtId="0" fontId="33" fillId="10" borderId="24" xfId="0" applyFont="1" applyFill="1" applyBorder="1" applyAlignment="1">
      <alignment horizontal="center" vertical="center"/>
    </xf>
    <xf numFmtId="0" fontId="20" fillId="9" borderId="25" xfId="0" applyFont="1" applyFill="1" applyBorder="1" applyAlignment="1">
      <alignment horizontal="center" vertical="center" wrapText="1"/>
    </xf>
    <xf numFmtId="0" fontId="20" fillId="9" borderId="26" xfId="0" applyFont="1" applyFill="1" applyBorder="1" applyAlignment="1">
      <alignment horizontal="center" vertical="center" wrapText="1"/>
    </xf>
    <xf numFmtId="0" fontId="33" fillId="9" borderId="27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33" fillId="10" borderId="27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 wrapText="1"/>
    </xf>
    <xf numFmtId="0" fontId="20" fillId="9" borderId="0" xfId="0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20" fillId="10" borderId="0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center" vertical="center" wrapText="1"/>
    </xf>
    <xf numFmtId="0" fontId="33" fillId="9" borderId="7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center" vertical="center" wrapText="1"/>
    </xf>
    <xf numFmtId="0" fontId="33" fillId="10" borderId="7" xfId="0" applyFont="1" applyFill="1" applyBorder="1" applyAlignment="1">
      <alignment horizontal="center" vertical="center" wrapText="1"/>
    </xf>
    <xf numFmtId="0" fontId="33" fillId="10" borderId="8" xfId="0" applyFont="1" applyFill="1" applyBorder="1" applyAlignment="1">
      <alignment horizontal="center" vertical="center" wrapText="1"/>
    </xf>
    <xf numFmtId="0" fontId="34" fillId="13" borderId="28" xfId="0" applyFont="1" applyFill="1" applyBorder="1" applyAlignment="1">
      <alignment horizontal="center" vertical="center" wrapText="1"/>
    </xf>
    <xf numFmtId="0" fontId="34" fillId="14" borderId="28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/>
    <xf numFmtId="0" fontId="17" fillId="23" borderId="33" xfId="0" applyFont="1" applyFill="1" applyBorder="1" applyAlignment="1">
      <alignment horizontal="center" vertical="center"/>
    </xf>
    <xf numFmtId="0" fontId="17" fillId="23" borderId="34" xfId="0" applyFont="1" applyFill="1" applyBorder="1" applyAlignment="1">
      <alignment horizontal="center" vertical="center"/>
    </xf>
    <xf numFmtId="0" fontId="17" fillId="23" borderId="35" xfId="0" applyFont="1" applyFill="1" applyBorder="1" applyAlignment="1">
      <alignment horizontal="center" vertical="center"/>
    </xf>
    <xf numFmtId="0" fontId="17" fillId="21" borderId="20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center" vertical="center" wrapText="1"/>
    </xf>
    <xf numFmtId="0" fontId="36" fillId="13" borderId="21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 wrapText="1"/>
    </xf>
    <xf numFmtId="0" fontId="18" fillId="14" borderId="20" xfId="0" applyFont="1" applyFill="1" applyBorder="1" applyAlignment="1">
      <alignment horizontal="center" vertical="center" wrapText="1"/>
    </xf>
    <xf numFmtId="0" fontId="36" fillId="14" borderId="21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 wrapText="1"/>
    </xf>
    <xf numFmtId="0" fontId="18" fillId="13" borderId="23" xfId="0" applyFont="1" applyFill="1" applyBorder="1" applyAlignment="1">
      <alignment horizontal="center" vertical="center" wrapText="1"/>
    </xf>
    <xf numFmtId="0" fontId="36" fillId="13" borderId="24" xfId="0" applyFont="1" applyFill="1" applyBorder="1" applyAlignment="1">
      <alignment horizontal="center" vertical="center"/>
    </xf>
    <xf numFmtId="0" fontId="18" fillId="14" borderId="22" xfId="0" applyFont="1" applyFill="1" applyBorder="1" applyAlignment="1">
      <alignment horizontal="center" vertical="center" wrapText="1"/>
    </xf>
    <xf numFmtId="0" fontId="18" fillId="14" borderId="23" xfId="0" applyFont="1" applyFill="1" applyBorder="1" applyAlignment="1">
      <alignment horizontal="center" vertical="center" wrapText="1"/>
    </xf>
    <xf numFmtId="0" fontId="36" fillId="14" borderId="24" xfId="0" applyFont="1" applyFill="1" applyBorder="1" applyAlignment="1">
      <alignment horizontal="center" vertical="center"/>
    </xf>
    <xf numFmtId="0" fontId="18" fillId="13" borderId="25" xfId="0" applyFont="1" applyFill="1" applyBorder="1" applyAlignment="1">
      <alignment horizontal="center" vertical="center" wrapText="1"/>
    </xf>
    <xf numFmtId="0" fontId="18" fillId="13" borderId="26" xfId="0" applyFont="1" applyFill="1" applyBorder="1" applyAlignment="1">
      <alignment horizontal="center" vertical="center" wrapText="1"/>
    </xf>
    <xf numFmtId="0" fontId="36" fillId="13" borderId="27" xfId="0" applyFont="1" applyFill="1" applyBorder="1" applyAlignment="1">
      <alignment horizontal="center" vertical="center"/>
    </xf>
    <xf numFmtId="0" fontId="18" fillId="14" borderId="25" xfId="0" applyFont="1" applyFill="1" applyBorder="1" applyAlignment="1">
      <alignment horizontal="center" vertical="center" wrapText="1"/>
    </xf>
    <xf numFmtId="0" fontId="18" fillId="14" borderId="26" xfId="0" applyFont="1" applyFill="1" applyBorder="1" applyAlignment="1">
      <alignment horizontal="center" vertical="center" wrapText="1"/>
    </xf>
    <xf numFmtId="0" fontId="36" fillId="14" borderId="27" xfId="0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0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8" fillId="14" borderId="13" xfId="0" applyFont="1" applyFill="1" applyBorder="1" applyAlignment="1">
      <alignment horizontal="center" vertical="center" wrapText="1"/>
    </xf>
    <xf numFmtId="0" fontId="18" fillId="14" borderId="0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36" fillId="13" borderId="6" xfId="0" applyFont="1" applyFill="1" applyBorder="1" applyAlignment="1">
      <alignment horizontal="center" vertical="center" wrapText="1"/>
    </xf>
    <xf numFmtId="0" fontId="36" fillId="13" borderId="7" xfId="0" applyFont="1" applyFill="1" applyBorder="1" applyAlignment="1">
      <alignment horizontal="center" vertical="center" wrapText="1"/>
    </xf>
    <xf numFmtId="0" fontId="36" fillId="13" borderId="8" xfId="0" applyFont="1" applyFill="1" applyBorder="1" applyAlignment="1">
      <alignment horizontal="center" vertical="center" wrapText="1"/>
    </xf>
    <xf numFmtId="0" fontId="36" fillId="14" borderId="6" xfId="0" applyFont="1" applyFill="1" applyBorder="1" applyAlignment="1">
      <alignment horizontal="center" vertical="center" wrapText="1"/>
    </xf>
    <xf numFmtId="0" fontId="36" fillId="14" borderId="7" xfId="0" applyFont="1" applyFill="1" applyBorder="1" applyAlignment="1">
      <alignment horizontal="center" vertical="center" wrapText="1"/>
    </xf>
    <xf numFmtId="0" fontId="36" fillId="14" borderId="8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6" fillId="2" borderId="36" xfId="0" applyNumberFormat="1" applyFont="1" applyFill="1" applyBorder="1" applyAlignment="1">
      <alignment horizontal="center" vertical="center"/>
    </xf>
    <xf numFmtId="0" fontId="33" fillId="0" borderId="36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24" borderId="37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4" borderId="37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 wrapText="1"/>
    </xf>
    <xf numFmtId="0" fontId="39" fillId="0" borderId="0" xfId="0" applyFont="1" applyFill="1" applyAlignment="1">
      <alignment horizontal="center" vertical="center" wrapText="1"/>
    </xf>
    <xf numFmtId="0" fontId="40" fillId="0" borderId="0" xfId="0" applyFont="1" applyFill="1" applyAlignment="1">
      <alignment horizontal="center" vertical="center"/>
    </xf>
    <xf numFmtId="0" fontId="40" fillId="0" borderId="37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 wrapText="1"/>
    </xf>
    <xf numFmtId="0" fontId="36" fillId="24" borderId="36" xfId="0" applyFont="1" applyFill="1" applyBorder="1" applyAlignment="1">
      <alignment horizontal="center" vertical="center"/>
    </xf>
    <xf numFmtId="0" fontId="36" fillId="2" borderId="36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0" fillId="20" borderId="36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 wrapText="1"/>
    </xf>
    <xf numFmtId="0" fontId="33" fillId="20" borderId="36" xfId="0" applyFont="1" applyFill="1" applyBorder="1" applyAlignment="1">
      <alignment horizontal="center" vertical="center" wrapText="1"/>
    </xf>
    <xf numFmtId="0" fontId="43" fillId="20" borderId="36" xfId="0" applyFont="1" applyFill="1" applyBorder="1" applyAlignment="1">
      <alignment horizontal="center" vertical="center"/>
    </xf>
    <xf numFmtId="0" fontId="40" fillId="20" borderId="36" xfId="0" applyFont="1" applyFill="1" applyBorder="1" applyAlignment="1">
      <alignment horizontal="center" vertical="center" wrapText="1"/>
    </xf>
    <xf numFmtId="0" fontId="33" fillId="20" borderId="36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" fillId="20" borderId="36" xfId="0" applyFont="1" applyFill="1" applyBorder="1" applyAlignment="1">
      <alignment horizontal="center" vertical="center"/>
    </xf>
    <xf numFmtId="0" fontId="0" fillId="20" borderId="36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44" fillId="24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0" fillId="21" borderId="19" xfId="0" applyFont="1" applyFill="1" applyBorder="1" applyAlignment="1" quotePrefix="1">
      <alignment horizontal="center" vertical="center"/>
    </xf>
    <xf numFmtId="0" fontId="17" fillId="21" borderId="19" xfId="0" applyFont="1" applyFill="1" applyBorder="1" applyAlignment="1" quotePrefix="1">
      <alignment horizontal="center"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  <xf numFmtId="0" fontId="1" fillId="0" borderId="0" xfId="0" applyFont="1" applyFill="1" applyAlignment="1" quotePrefix="1">
      <alignment vertical="center" wrapText="1"/>
    </xf>
    <xf numFmtId="0" fontId="2" fillId="0" borderId="0" xfId="0" applyFont="1" applyFill="1" applyAlignment="1" quotePrefix="1">
      <alignment horizontal="left" vertical="center"/>
    </xf>
    <xf numFmtId="0" fontId="1" fillId="2" borderId="0" xfId="0" applyFont="1" applyFill="1" applyAlignment="1" quotePrefix="1">
      <alignment vertical="center"/>
    </xf>
    <xf numFmtId="0" fontId="1" fillId="2" borderId="0" xfId="0" applyFont="1" applyFill="1" applyAlignment="1" quotePrefix="1">
      <alignment horizontal="left" vertical="center"/>
    </xf>
    <xf numFmtId="0" fontId="1" fillId="3" borderId="0" xfId="0" applyFont="1" applyFill="1" applyAlignment="1" quotePrefix="1">
      <alignment vertical="center"/>
    </xf>
    <xf numFmtId="0" fontId="1" fillId="3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0">
    <dxf>
      <fill>
        <patternFill patternType="solid">
          <bgColor rgb="FFFF0C01"/>
        </patternFill>
      </fill>
    </dxf>
    <dxf>
      <font>
        <b val="1"/>
        <i val="1"/>
        <color rgb="FFFF338F"/>
      </font>
    </dxf>
    <dxf>
      <font>
        <b val="1"/>
        <i val="1"/>
        <color rgb="FFC55A11"/>
      </font>
    </dxf>
    <dxf>
      <font>
        <b val="1"/>
        <i val="1"/>
        <color rgb="FF5B9BD5"/>
      </font>
    </dxf>
    <dxf>
      <font>
        <b val="1"/>
        <color rgb="FFFF0000"/>
      </font>
    </dxf>
    <dxf>
      <font>
        <b val="1"/>
        <color rgb="FFC55A11"/>
      </font>
    </dxf>
    <dxf>
      <font>
        <b val="1"/>
        <color rgb="FF00B050"/>
      </font>
    </dxf>
    <dxf>
      <font>
        <color rgb="FF000000"/>
      </font>
      <fill>
        <patternFill patternType="solid">
          <bgColor rgb="FFFBE5D6"/>
        </patternFill>
      </fill>
    </dxf>
    <dxf>
      <font>
        <color rgb="FF000000"/>
      </font>
      <fill>
        <patternFill patternType="solid">
          <bgColor rgb="FFFFF2CC"/>
        </patternFill>
      </fill>
    </dxf>
    <dxf>
      <font>
        <color rgb="FF000000"/>
      </font>
      <fill>
        <patternFill patternType="solid">
          <bgColor rgb="FFDEEBF7"/>
        </patternFill>
      </fill>
    </dxf>
    <dxf>
      <font>
        <color rgb="FF000000"/>
      </font>
      <fill>
        <patternFill patternType="solid">
          <bgColor rgb="FFE2F0D9"/>
        </patternFill>
      </fill>
    </dxf>
    <dxf>
      <font>
        <color rgb="FF000000"/>
      </font>
      <fill>
        <patternFill patternType="solid">
          <bgColor rgb="FF333F50"/>
        </patternFill>
      </fill>
    </dxf>
    <dxf>
      <font>
        <color rgb="FF000000"/>
      </font>
      <fill>
        <patternFill patternType="solid">
          <bgColor rgb="FF7030A0"/>
        </patternFill>
      </fill>
    </dxf>
    <dxf>
      <font>
        <color rgb="FF000000"/>
      </font>
      <fill>
        <patternFill patternType="solid">
          <bgColor rgb="FF2E75B6"/>
        </patternFill>
      </fill>
    </dxf>
    <dxf>
      <font>
        <color rgb="FF000000"/>
      </font>
      <fill>
        <patternFill patternType="solid">
          <bgColor rgb="FF548235"/>
        </patternFill>
      </fill>
    </dxf>
    <dxf>
      <font>
        <b val="1"/>
        <color rgb="FF000000"/>
      </font>
      <fill>
        <patternFill patternType="solid">
          <bgColor rgb="FFFEEB9B"/>
        </patternFill>
      </fill>
    </dxf>
    <dxf>
      <font>
        <b val="1"/>
        <color rgb="FFFFFFFF"/>
      </font>
      <fill>
        <patternFill patternType="solid">
          <bgColor rgb="FFFF8E94"/>
        </patternFill>
      </fill>
    </dxf>
    <dxf>
      <font>
        <b val="1"/>
        <color rgb="FFFFFFFF"/>
      </font>
      <fill>
        <patternFill patternType="solid">
          <bgColor rgb="FF5B9BD5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535353"/>
      </font>
    </dxf>
    <dxf>
      <font>
        <b val="1"/>
        <color rgb="FF7F6000"/>
      </font>
    </dxf>
    <dxf>
      <font>
        <b val="1"/>
        <color rgb="FFBF9000"/>
      </font>
    </dxf>
    <dxf>
      <font>
        <b val="1"/>
        <color rgb="FFED7D31"/>
      </font>
    </dxf>
    <dxf>
      <font>
        <b val="1"/>
        <color rgb="FFC00000"/>
      </font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000000"/>
      </font>
      <fill>
        <patternFill patternType="solid">
          <bgColor rgb="FFC8C8C8"/>
        </patternFill>
      </fill>
    </dxf>
    <dxf>
      <font>
        <b val="1"/>
        <color rgb="FF4472C4"/>
      </font>
      <fill>
        <patternFill patternType="solid">
          <bgColor rgb="FFDEEBF7"/>
        </patternFill>
      </fill>
    </dxf>
    <dxf>
      <font>
        <b val="1"/>
        <color rgb="FF2E6334"/>
      </font>
      <fill>
        <patternFill patternType="solid">
          <bgColor rgb="FFC7EFCE"/>
        </patternFill>
      </fill>
    </dxf>
    <dxf>
      <font>
        <b val="1"/>
        <color rgb="FFC00000"/>
      </font>
      <fill>
        <patternFill patternType="solid">
          <bgColor rgb="FFFEC8CE"/>
        </patternFill>
      </fill>
    </dxf>
    <dxf>
      <font>
        <b val="1"/>
        <color rgb="FF843C0B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ED7D31"/>
      </font>
    </dxf>
    <dxf>
      <font>
        <b val="1"/>
        <color rgb="FFBF9000"/>
      </font>
    </dxf>
    <dxf>
      <font>
        <b val="1"/>
        <color rgb="FF00B0F0"/>
      </font>
    </dxf>
    <dxf>
      <font>
        <b val="1"/>
        <color rgb="FF70AD47"/>
      </font>
    </dxf>
    <dxf>
      <font>
        <b val="1"/>
        <color rgb="FF203864"/>
      </font>
    </dxf>
    <dxf>
      <font>
        <b val="1"/>
        <color rgb="FF7030A0"/>
      </font>
    </dxf>
    <dxf>
      <font>
        <b val="1"/>
        <color rgb="FF4472C4"/>
      </font>
    </dxf>
    <dxf>
      <font>
        <b val="1"/>
        <color rgb="FF385723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RowStripe" dxfId="54"/>
      <tableStyleElement type="firstColumnStripe" dxfId="53"/>
    </tableStyle>
    <tableStyle name="PivotStylePreset2_Accent1" table="0" count="10" xr9:uid="{267968C8-6FFD-4C36-ACC1-9EA1FD1885CA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.bilibili.com/8210695" TargetMode="External"/><Relationship Id="rId2" Type="http://schemas.openxmlformats.org/officeDocument/2006/relationships/hyperlink" Target="https://live.bilibili.com/949412" TargetMode="External"/><Relationship Id="rId1" Type="http://schemas.openxmlformats.org/officeDocument/2006/relationships/hyperlink" Target="https://live.bilibili.com/1278280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kdocs.cn/l/cd1pt4d5tP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56"/>
  <sheetViews>
    <sheetView zoomScale="85" zoomScaleNormal="85" workbookViewId="0">
      <pane ySplit="11" topLeftCell="A15" activePane="bottomLeft" state="frozen"/>
      <selection/>
      <selection pane="bottomLeft" activeCell="C9" sqref="C9"/>
    </sheetView>
  </sheetViews>
  <sheetFormatPr defaultColWidth="8" defaultRowHeight="16.5" outlineLevelCol="5"/>
  <cols>
    <col min="1" max="1" width="37" style="28" customWidth="1"/>
    <col min="2" max="2" width="39.5555555555556" style="28" customWidth="1"/>
    <col min="3" max="3" width="89.4444444444444" style="28" customWidth="1"/>
    <col min="4" max="4" width="52.4444444444444" style="28" customWidth="1"/>
    <col min="5" max="5" width="34.4444444444444" style="28" customWidth="1"/>
    <col min="6" max="6" width="24.2222222222222" style="28" customWidth="1"/>
    <col min="7" max="7" width="13.4444444444444" style="28" customWidth="1"/>
    <col min="8" max="16384" width="8" style="28" customWidth="1"/>
  </cols>
  <sheetData>
    <row r="1" ht="40.5" customHeight="1" spans="1:5">
      <c r="A1" s="268" t="s">
        <v>0</v>
      </c>
      <c r="B1" s="268"/>
      <c r="C1" s="268"/>
      <c r="D1" s="268"/>
      <c r="E1" s="299"/>
    </row>
    <row r="2" ht="21" customHeight="1" spans="1:5">
      <c r="A2" s="270" t="s">
        <v>1</v>
      </c>
      <c r="B2" s="270" t="s">
        <v>2</v>
      </c>
      <c r="C2" s="270" t="s">
        <v>3</v>
      </c>
      <c r="D2" s="270" t="s">
        <v>4</v>
      </c>
      <c r="E2" s="270" t="s">
        <v>5</v>
      </c>
    </row>
    <row r="3" ht="35.1" customHeight="1" spans="1:5">
      <c r="A3" s="272" t="s">
        <v>6</v>
      </c>
      <c r="B3" s="273">
        <f>'队伍收入状况 '!D2</f>
        <v>2250</v>
      </c>
      <c r="C3" s="274">
        <f>B3-SUMIFS(交易历史!B:B,交易历史!C:C,A3,交易历史!E:E,"首轮交易")+SUMIFS(交易历史!B:B,交易历史!D:D,A3,交易历史!E:E,"首轮交易")-SUMIFS(交易历史!B:B,交易历史!C:C,A3,交易历史!E:E,"二轮交易")+SUMIFS(交易历史!B:B,交易历史!D:D,A3,交易历史!E:E,"二轮交易")-SUMIFS(交易历史!B:B,交易历史!C:C,A3,交易历史!E:E,"三轮交易")+SUMIFS(交易历史!B:B,交易历史!D:D,A3,交易历史!E:E,"三轮交易")-SUMIFS(交易历史!B:B,交易历史!C:C,A3,交易历史!E:E,"四轮交易")+SUMIFS(交易历史!B:B,交易历史!D:D,A3,交易历史!E:E,"四轮交易")</f>
        <v>20</v>
      </c>
      <c r="D3" s="275" t="str">
        <f t="shared" ref="D3:D10" si="0">IF(C3&lt;=0,"超支",IF(C3&lt;=500,"即将超支，剩余"&amp;TEXT(C3,"0")&amp;"W第纳尔","资金状况良好"))</f>
        <v>即将超支，剩余20W第纳尔</v>
      </c>
      <c r="E3" s="276" t="s">
        <v>7</v>
      </c>
    </row>
    <row r="4" ht="35.1" customHeight="1" spans="1:5">
      <c r="A4" s="278" t="s">
        <v>8</v>
      </c>
      <c r="B4" s="273">
        <f>'队伍收入状况 '!D3</f>
        <v>2550</v>
      </c>
      <c r="C4" s="274">
        <f>B4-SUMIFS(交易历史!B:B,交易历史!C:C,A4,交易历史!E:E,"首轮交易")+SUMIFS(交易历史!B:B,交易历史!D:D,A4,交易历史!E:E,"首轮交易")-SUMIFS(交易历史!B:B,交易历史!C:C,A4,交易历史!E:E,"二轮交易")+SUMIFS(交易历史!B:B,交易历史!D:D,A4,交易历史!E:E,"二轮交易")-SUMIFS(交易历史!B:B,交易历史!C:C,A4,交易历史!E:E,"三轮交易")+SUMIFS(交易历史!B:B,交易历史!D:D,A4,交易历史!E:E,"三轮交易")-SUMIFS(交易历史!B:B,交易历史!C:C,A4,交易历史!E:E,"四轮交易")+SUMIFS(交易历史!B:B,交易历史!D:D,A4,交易历史!E:E,"四轮交易")</f>
        <v>0</v>
      </c>
      <c r="D4" s="275" t="str">
        <f t="shared" si="0"/>
        <v>超支</v>
      </c>
      <c r="E4" s="276" t="s">
        <v>9</v>
      </c>
    </row>
    <row r="5" ht="35.1" customHeight="1" spans="1:5">
      <c r="A5" s="279" t="s">
        <v>10</v>
      </c>
      <c r="B5" s="273">
        <f>'队伍收入状况 '!D4</f>
        <v>2100</v>
      </c>
      <c r="C5" s="274">
        <f>B5-SUMIFS(交易历史!B:B,交易历史!C:C,A5,交易历史!E:E,"首轮交易")+SUMIFS(交易历史!B:B,交易历史!D:D,A5,交易历史!E:E,"首轮交易")-SUMIFS(交易历史!B:B,交易历史!C:C,A5,交易历史!E:E,"二轮交易")+SUMIFS(交易历史!B:B,交易历史!D:D,A5,交易历史!E:E,"二轮交易")-SUMIFS(交易历史!B:B,交易历史!C:C,A5,交易历史!E:E,"三轮交易")+SUMIFS(交易历史!B:B,交易历史!D:D,A5,交易历史!E:E,"三轮交易")-SUMIFS(交易历史!B:B,交易历史!C:C,A5,交易历史!E:E,"四轮交易")+SUMIFS(交易历史!B:B,交易历史!D:D,A5,交易历史!E:E,"四轮交易")</f>
        <v>30</v>
      </c>
      <c r="D5" s="275" t="str">
        <f t="shared" si="0"/>
        <v>即将超支，剩余30W第纳尔</v>
      </c>
      <c r="E5" s="276" t="s">
        <v>11</v>
      </c>
    </row>
    <row r="6" ht="35.1" customHeight="1" spans="1:5">
      <c r="A6" s="280" t="s">
        <v>12</v>
      </c>
      <c r="B6" s="273">
        <f>'队伍收入状况 '!D5</f>
        <v>2200</v>
      </c>
      <c r="C6" s="274">
        <f>B6-SUMIFS(交易历史!B:B,交易历史!C:C,A6,交易历史!E:E,"首轮交易")+SUMIFS(交易历史!B:B,交易历史!D:D,A6,交易历史!E:E,"首轮交易")-SUMIFS(交易历史!B:B,交易历史!C:C,A6,交易历史!E:E,"二轮交易")+SUMIFS(交易历史!B:B,交易历史!D:D,A6,交易历史!E:E,"二轮交易")-SUMIFS(交易历史!B:B,交易历史!C:C,A6,交易历史!E:E,"三轮交易")+SUMIFS(交易历史!B:B,交易历史!D:D,A6,交易历史!E:E,"三轮交易")-SUMIFS(交易历史!B:B,交易历史!C:C,A6,交易历史!E:E,"四轮交易")+SUMIFS(交易历史!B:B,交易历史!D:D,A6,交易历史!E:E,"四轮交易")</f>
        <v>630</v>
      </c>
      <c r="D6" s="275" t="str">
        <f t="shared" si="0"/>
        <v>资金状况良好</v>
      </c>
      <c r="E6" s="276" t="s">
        <v>13</v>
      </c>
    </row>
    <row r="7" ht="35.1" customHeight="1" spans="1:5">
      <c r="A7" s="281" t="s">
        <v>14</v>
      </c>
      <c r="B7" s="273">
        <f>'队伍收入状况 '!D6</f>
        <v>2200</v>
      </c>
      <c r="C7" s="274">
        <f>B7-SUMIFS(交易历史!B:B,交易历史!C:C,A7,交易历史!E:E,"首轮交易")+SUMIFS(交易历史!B:B,交易历史!D:D,A7,交易历史!E:E,"首轮交易")-SUMIFS(交易历史!B:B,交易历史!C:C,A7,交易历史!E:E,"二轮交易")+SUMIFS(交易历史!B:B,交易历史!D:D,A7,交易历史!E:E,"二轮交易")-SUMIFS(交易历史!B:B,交易历史!C:C,A7,交易历史!E:E,"三轮交易")+SUMIFS(交易历史!B:B,交易历史!D:D,A7,交易历史!E:E,"三轮交易")-SUMIFS(交易历史!B:B,交易历史!C:C,A7,交易历史!E:E,"四轮交易")+SUMIFS(交易历史!B:B,交易历史!D:D,A7,交易历史!E:E,"四轮交易")</f>
        <v>90</v>
      </c>
      <c r="D7" s="275" t="str">
        <f t="shared" si="0"/>
        <v>即将超支，剩余90W第纳尔</v>
      </c>
      <c r="E7" s="276" t="s">
        <v>15</v>
      </c>
    </row>
    <row r="8" ht="35.1" customHeight="1" spans="1:5">
      <c r="A8" s="282" t="s">
        <v>16</v>
      </c>
      <c r="B8" s="273">
        <f>'队伍收入状况 '!D7</f>
        <v>2200</v>
      </c>
      <c r="C8" s="274">
        <f>B8-SUMIFS(交易历史!B:B,交易历史!C:C,A8,交易历史!E:E,"首轮交易")+SUMIFS(交易历史!B:B,交易历史!D:D,A8,交易历史!E:E,"首轮交易")-SUMIFS(交易历史!B:B,交易历史!C:C,A8,交易历史!E:E,"二轮交易")+SUMIFS(交易历史!B:B,交易历史!D:D,A8,交易历史!E:E,"二轮交易")-SUMIFS(交易历史!B:B,交易历史!C:C,A8,交易历史!E:E,"三轮交易")+SUMIFS(交易历史!B:B,交易历史!D:D,A8,交易历史!E:E,"三轮交易")-SUMIFS(交易历史!B:B,交易历史!C:C,A8,交易历史!E:E,"四轮交易")+SUMIFS(交易历史!B:B,交易历史!D:D,A8,交易历史!E:E,"四轮交易")</f>
        <v>90</v>
      </c>
      <c r="D8" s="275" t="str">
        <f t="shared" si="0"/>
        <v>即将超支，剩余90W第纳尔</v>
      </c>
      <c r="E8" s="276" t="s">
        <v>17</v>
      </c>
    </row>
    <row r="9" ht="35.1" customHeight="1" spans="1:5">
      <c r="A9" s="283" t="s">
        <v>18</v>
      </c>
      <c r="B9" s="273">
        <f>'队伍收入状况 '!D8</f>
        <v>2750</v>
      </c>
      <c r="C9" s="274">
        <f>B9-SUMIFS(交易历史!B:B,交易历史!C:C,A9,交易历史!E:E,"首轮交易")+SUMIFS(交易历史!B:B,交易历史!D:D,A9,交易历史!E:E,"首轮交易")-SUMIFS(交易历史!B:B,交易历史!C:C,A9,交易历史!E:E,"二轮交易")+SUMIFS(交易历史!B:B,交易历史!D:D,A9,交易历史!E:E,"二轮交易")-SUMIFS(交易历史!B:B,交易历史!C:C,A9,交易历史!E:E,"三轮交易")+SUMIFS(交易历史!B:B,交易历史!D:D,A9,交易历史!E:E,"三轮交易")-SUMIFS(交易历史!B:B,交易历史!C:C,A9,交易历史!E:E,"四轮交易")+SUMIFS(交易历史!B:B,交易历史!D:D,A9,交易历史!E:E,"四轮交易")</f>
        <v>650</v>
      </c>
      <c r="D9" s="275" t="str">
        <f t="shared" si="0"/>
        <v>资金状况良好</v>
      </c>
      <c r="E9" s="276" t="s">
        <v>19</v>
      </c>
    </row>
    <row r="10" ht="35.1" customHeight="1" spans="1:5">
      <c r="A10" s="284" t="s">
        <v>20</v>
      </c>
      <c r="B10" s="273">
        <f>'队伍收入状况 '!D9</f>
        <v>2700</v>
      </c>
      <c r="C10" s="274">
        <f>B10-SUMIFS(交易历史!B:B,交易历史!C:C,A10,交易历史!E:E,"首轮交易")+SUMIFS(交易历史!B:B,交易历史!D:D,A10,交易历史!E:E,"首轮交易")-SUMIFS(交易历史!B:B,交易历史!C:C,A10,交易历史!E:E,"二轮交易")+SUMIFS(交易历史!B:B,交易历史!D:D,A10,交易历史!E:E,"二轮交易")-SUMIFS(交易历史!B:B,交易历史!C:C,A10,交易历史!E:E,"三轮交易")+SUMIFS(交易历史!B:B,交易历史!D:D,A10,交易历史!E:E,"三轮交易")-SUMIFS(交易历史!B:B,交易历史!C:C,A10,交易历史!E:E,"四轮交易")+SUMIFS(交易历史!B:B,交易历史!D:D,A10,交易历史!E:E,"四轮交易")</f>
        <v>360</v>
      </c>
      <c r="D10" s="285" t="str">
        <f t="shared" si="0"/>
        <v>即将超支，剩余360W第纳尔</v>
      </c>
      <c r="E10" s="276" t="s">
        <v>21</v>
      </c>
    </row>
    <row r="11" ht="27.95" customHeight="1" spans="1:6">
      <c r="A11" s="300" t="s">
        <v>22</v>
      </c>
      <c r="B11" s="300" t="s">
        <v>23</v>
      </c>
      <c r="C11" s="270" t="s">
        <v>24</v>
      </c>
      <c r="D11" s="270" t="s">
        <v>25</v>
      </c>
      <c r="E11" s="270" t="s">
        <v>26</v>
      </c>
      <c r="F11" s="301"/>
    </row>
    <row r="12" ht="45" customHeight="1" spans="1:6">
      <c r="A12" s="148" t="s">
        <v>27</v>
      </c>
      <c r="B12" s="148" t="s">
        <v>28</v>
      </c>
      <c r="C12" s="148">
        <f>_xlfn.MAXIFS(交易历史!B:B,交易历史!A:A,A12)</f>
        <v>0</v>
      </c>
      <c r="D12" s="148" t="str">
        <f>INDEX(交易历史!C:C,MATCH(A12,交易历史!A:A,0))</f>
        <v>【G2】G2‭</v>
      </c>
      <c r="E12" s="302" t="str">
        <f t="shared" ref="E12:E18" si="1">IF(AND(NOT(ISBLANK(C12)),NOT(ISBLANK(D12)),ISERROR(SEARCH("流拍待定",D12))),"球员已拍定",IF(ISNUMBER(SEARCH("流拍待定",D12)),"流拍待定",IF(AND(OR(ISBLANK(C12),ISBLANK(D12)),NOT(ISBLANK(C11)),NOT(ISBLANK(D11))),"正在竞拍","")))</f>
        <v>球员已拍定</v>
      </c>
      <c r="F12" s="303"/>
    </row>
    <row r="13" ht="45" customHeight="1" spans="1:6">
      <c r="A13" s="148" t="s">
        <v>29</v>
      </c>
      <c r="B13" s="148" t="s">
        <v>30</v>
      </c>
      <c r="C13" s="304">
        <f>_xlfn.MAXIFS(交易历史!B:B,交易历史!A:A,A13)</f>
        <v>80</v>
      </c>
      <c r="D13" s="148" t="str">
        <f>INDEX(交易历史!C:C,MATCH(A13,交易历史!A:A,0))</f>
        <v>【SSR】Superior Super Rare</v>
      </c>
      <c r="E13" s="302" t="str">
        <f t="shared" si="1"/>
        <v>球员已拍定</v>
      </c>
      <c r="F13" s="303"/>
    </row>
    <row r="14" ht="45" customHeight="1" spans="1:6">
      <c r="A14" s="148" t="s">
        <v>31</v>
      </c>
      <c r="B14" s="148" t="s">
        <v>31</v>
      </c>
      <c r="C14" s="148">
        <f>_xlfn.MAXIFS(交易历史!B:B,交易历史!A:A,A14)</f>
        <v>0</v>
      </c>
      <c r="D14" s="148" t="str">
        <f>INDEX(交易历史!C:C,MATCH(A14,交易历史!A:A,0))</f>
        <v>【AWO】逃出生天</v>
      </c>
      <c r="E14" s="302" t="str">
        <f t="shared" si="1"/>
        <v>球员已拍定</v>
      </c>
      <c r="F14" s="303"/>
    </row>
    <row r="15" ht="45" customHeight="1" spans="1:6">
      <c r="A15" s="148" t="s">
        <v>32</v>
      </c>
      <c r="B15" s="148" t="s">
        <v>33</v>
      </c>
      <c r="C15" s="148">
        <f>_xlfn.MAXIFS(交易历史!B:B,交易历史!A:A,A15)</f>
        <v>320</v>
      </c>
      <c r="D15" s="148" t="str">
        <f>INDEX(交易历史!C:C,MATCH(A15,交易历史!A:A,0))</f>
        <v>【NikoFC】NikoCN Fanclub</v>
      </c>
      <c r="E15" s="302" t="str">
        <f t="shared" si="1"/>
        <v>球员已拍定</v>
      </c>
      <c r="F15" s="303"/>
    </row>
    <row r="16" ht="45" customHeight="1" spans="1:6">
      <c r="A16" s="148" t="s">
        <v>34</v>
      </c>
      <c r="B16" s="148" t="s">
        <v>35</v>
      </c>
      <c r="C16" s="304">
        <f>_xlfn.MAXIFS(交易历史!B:B,交易历史!A:A,A16)</f>
        <v>400</v>
      </c>
      <c r="D16" s="148" t="str">
        <f>INDEX(交易历史!C:C,MATCH(A16,交易历史!A:A,0))</f>
        <v>【SSR】Superior Super Rare</v>
      </c>
      <c r="E16" s="302" t="str">
        <f t="shared" si="1"/>
        <v>球员已拍定</v>
      </c>
      <c r="F16" s="303"/>
    </row>
    <row r="17" ht="45" customHeight="1" spans="1:6">
      <c r="A17" s="148" t="s">
        <v>36</v>
      </c>
      <c r="B17" s="148" t="s">
        <v>37</v>
      </c>
      <c r="C17" s="148">
        <f>_xlfn.MAXIFS(交易历史!B:B,交易历史!A:A,A17)</f>
        <v>600</v>
      </c>
      <c r="D17" s="148" t="str">
        <f>INDEX(交易历史!C:C,MATCH(A17,交易历史!A:A,0))</f>
        <v>【TV】Team Vitality</v>
      </c>
      <c r="E17" s="302" t="str">
        <f t="shared" si="1"/>
        <v>球员已拍定</v>
      </c>
      <c r="F17" s="303"/>
    </row>
    <row r="18" ht="45" customHeight="1" spans="1:6">
      <c r="A18" s="148" t="s">
        <v>38</v>
      </c>
      <c r="B18" s="148" t="s">
        <v>39</v>
      </c>
      <c r="C18" s="148">
        <f>_xlfn.MAXIFS(交易历史!B:B,交易历史!A:A,A18)</f>
        <v>100</v>
      </c>
      <c r="D18" s="148" t="str">
        <f>INDEX(交易历史!C:C,MATCH(A18,交易历史!A:A,0))</f>
        <v>【NikoFC】NikoCN Fanclub</v>
      </c>
      <c r="E18" s="302" t="str">
        <f t="shared" si="1"/>
        <v>球员已拍定</v>
      </c>
      <c r="F18" s="303"/>
    </row>
    <row r="19" ht="45" customHeight="1" spans="1:6">
      <c r="A19" s="148" t="s">
        <v>40</v>
      </c>
      <c r="B19" s="148" t="s">
        <v>41</v>
      </c>
      <c r="C19" s="148">
        <f>_xlfn.MAXIFS(交易历史!B:B,交易历史!A:A,A19)</f>
        <v>80</v>
      </c>
      <c r="D19" s="148" t="str">
        <f>INDEX(交易历史!C:C,MATCH(A19,交易历史!A:A,0))</f>
        <v>【Miniworld】迷你世界</v>
      </c>
      <c r="E19" s="302" t="str">
        <f>IF(AND(NOT(ISBLANK(C19)),NOT(ISBLANK(D19)),ISERROR(SEARCH("流拍待定",D19))),"球员已拍定",IF(ISNUMBER(SEARCH("流拍待定",D19)),"流拍待定",IF(AND(OR(ISBLANK(C19),ISBLANK(D19)),NOT(ISBLANK(#REF!)),NOT(ISBLANK(#REF!))),"正在竞拍","")))</f>
        <v>球员已拍定</v>
      </c>
      <c r="F19" s="303"/>
    </row>
    <row r="20" ht="45" customHeight="1" spans="1:6">
      <c r="A20" s="148" t="s">
        <v>42</v>
      </c>
      <c r="B20" s="148" t="s">
        <v>42</v>
      </c>
      <c r="C20" s="148">
        <f>_xlfn.MAXIFS(交易历史!B:B,交易历史!A:A,A20)</f>
        <v>10</v>
      </c>
      <c r="D20" s="148" t="str">
        <f>INDEX(交易历史!C:C,MATCH(A20,交易历史!A:A,0))</f>
        <v>【TV】Team Vitality</v>
      </c>
      <c r="E20" s="302" t="str">
        <f t="shared" ref="E20:E66" si="2">IF(AND(NOT(ISBLANK(C20)),NOT(ISBLANK(D20)),ISERROR(SEARCH("流拍待定",D20))),"球员已拍定",IF(ISNUMBER(SEARCH("流拍待定",D20)),"流拍待定",IF(AND(OR(ISBLANK(C20),ISBLANK(D20)),NOT(ISBLANK(C19)),NOT(ISBLANK(D19))),"正在竞拍","")))</f>
        <v>球员已拍定</v>
      </c>
      <c r="F20" s="303"/>
    </row>
    <row r="21" ht="45" customHeight="1" spans="1:6">
      <c r="A21" s="148" t="s">
        <v>43</v>
      </c>
      <c r="B21" s="148" t="s">
        <v>44</v>
      </c>
      <c r="C21" s="148">
        <f>_xlfn.MAXIFS(交易历史!B:B,交易历史!A:A,A21)</f>
        <v>0</v>
      </c>
      <c r="D21" s="148" t="str">
        <f>INDEX(交易历史!C:C,MATCH(A21,交易历史!A:A,0))</f>
        <v>【CbHz】吃饱喝足就是玩</v>
      </c>
      <c r="E21" s="302" t="str">
        <f t="shared" si="2"/>
        <v>球员已拍定</v>
      </c>
      <c r="F21" s="303"/>
    </row>
    <row r="22" ht="45" customHeight="1" spans="1:6">
      <c r="A22" s="148" t="s">
        <v>45</v>
      </c>
      <c r="B22" s="148" t="s">
        <v>45</v>
      </c>
      <c r="C22" s="148">
        <f>_xlfn.MAXIFS(交易历史!B:B,交易历史!A:A,A22)</f>
        <v>20</v>
      </c>
      <c r="D22" s="148" t="str">
        <f>INDEX(交易历史!C:C,MATCH(A22,交易历史!A:A,0))</f>
        <v>【TV】Team Vitality</v>
      </c>
      <c r="E22" s="302" t="str">
        <f t="shared" si="2"/>
        <v>球员已拍定</v>
      </c>
      <c r="F22" s="303"/>
    </row>
    <row r="23" ht="45" customHeight="1" spans="1:6">
      <c r="A23" s="148" t="s">
        <v>46</v>
      </c>
      <c r="B23" s="148" t="s">
        <v>47</v>
      </c>
      <c r="C23" s="148">
        <f>_xlfn.MAXIFS(交易历史!B:B,交易历史!A:A,A23)</f>
        <v>10</v>
      </c>
      <c r="D23" s="148" t="str">
        <f>INDEX(交易历史!C:C,MATCH(A23,交易历史!A:A,0))</f>
        <v>【SSR】Superior Super Rare</v>
      </c>
      <c r="E23" s="302" t="str">
        <f t="shared" si="2"/>
        <v>球员已拍定</v>
      </c>
      <c r="F23" s="303"/>
    </row>
    <row r="24" ht="45" customHeight="1" spans="1:6">
      <c r="A24" s="148" t="s">
        <v>48</v>
      </c>
      <c r="B24" s="148" t="s">
        <v>49</v>
      </c>
      <c r="C24" s="148">
        <f>_xlfn.MAXIFS(交易历史!B:B,交易历史!A:A,A24)</f>
        <v>660</v>
      </c>
      <c r="D24" s="148" t="str">
        <f>INDEX(交易历史!C:C,MATCH(A24,交易历史!A:A,0))</f>
        <v>【CbHz】吃饱喝足就是玩</v>
      </c>
      <c r="E24" s="302" t="str">
        <f t="shared" si="2"/>
        <v>球员已拍定</v>
      </c>
      <c r="F24" s="303"/>
    </row>
    <row r="25" ht="45" customHeight="1" spans="1:6">
      <c r="A25" s="148" t="s">
        <v>50</v>
      </c>
      <c r="B25" s="148" t="s">
        <v>51</v>
      </c>
      <c r="C25" s="148">
        <f>_xlfn.MAXIFS(交易历史!B:B,交易历史!A:A,A25)</f>
        <v>540</v>
      </c>
      <c r="D25" s="148" t="str">
        <f>INDEX(交易历史!C:C,MATCH(A25,交易历史!A:A,0))</f>
        <v>【NikoFC】NikoCN Fanclub</v>
      </c>
      <c r="E25" s="302" t="str">
        <f t="shared" si="2"/>
        <v>球员已拍定</v>
      </c>
      <c r="F25" s="303"/>
    </row>
    <row r="26" ht="45" customHeight="1" spans="1:6">
      <c r="A26" s="148" t="s">
        <v>52</v>
      </c>
      <c r="B26" s="148" t="s">
        <v>53</v>
      </c>
      <c r="C26" s="148">
        <f>_xlfn.MAXIFS(交易历史!B:B,交易历史!A:A,A26)</f>
        <v>1000</v>
      </c>
      <c r="D26" s="148" t="str">
        <f>INDEX(交易历史!C:C,MATCH(A26,交易历史!A:A,0))</f>
        <v>【G2】G2‭</v>
      </c>
      <c r="E26" s="302" t="str">
        <f t="shared" si="2"/>
        <v>球员已拍定</v>
      </c>
      <c r="F26" s="303"/>
    </row>
    <row r="27" ht="45" customHeight="1" spans="1:6">
      <c r="A27" s="148" t="s">
        <v>54</v>
      </c>
      <c r="B27" s="148" t="s">
        <v>54</v>
      </c>
      <c r="C27" s="148">
        <f>_xlfn.MAXIFS(交易历史!B:B,交易历史!A:A,A27)</f>
        <v>350</v>
      </c>
      <c r="D27" s="148" t="str">
        <f>INDEX(交易历史!C:C,MATCH(A27,交易历史!A:A,0))</f>
        <v>【Miniworld】迷你世界</v>
      </c>
      <c r="E27" s="302" t="str">
        <f t="shared" si="2"/>
        <v>球员已拍定</v>
      </c>
      <c r="F27" s="303"/>
    </row>
    <row r="28" ht="45" customHeight="1" spans="1:6">
      <c r="A28" s="148" t="s">
        <v>55</v>
      </c>
      <c r="B28" s="148" t="s">
        <v>56</v>
      </c>
      <c r="C28" s="148">
        <f>_xlfn.MAXIFS(交易历史!B:B,交易历史!A:A,A28)</f>
        <v>20</v>
      </c>
      <c r="D28" s="148" t="str">
        <f>INDEX(交易历史!C:C,MATCH(A28,交易历史!A:A,0))</f>
        <v>【Miniworld】迷你世界</v>
      </c>
      <c r="E28" s="302" t="str">
        <f t="shared" si="2"/>
        <v>球员已拍定</v>
      </c>
      <c r="F28" s="303"/>
    </row>
    <row r="29" ht="45" customHeight="1" spans="1:6">
      <c r="A29" s="148" t="s">
        <v>57</v>
      </c>
      <c r="B29" s="148" t="s">
        <v>58</v>
      </c>
      <c r="C29" s="148">
        <f>_xlfn.MAXIFS(交易历史!B:B,交易历史!A:A,A29)</f>
        <v>0</v>
      </c>
      <c r="D29" s="148" t="str">
        <f>INDEX(交易历史!C:C,MATCH(A29,交易历史!A:A,0))</f>
        <v>【CbHz】吃饱喝足就是玩</v>
      </c>
      <c r="E29" s="302" t="str">
        <f t="shared" si="2"/>
        <v>球员已拍定</v>
      </c>
      <c r="F29" s="303"/>
    </row>
    <row r="30" ht="45" customHeight="1" spans="1:6">
      <c r="A30" s="148" t="s">
        <v>59</v>
      </c>
      <c r="B30" s="148" t="s">
        <v>60</v>
      </c>
      <c r="C30" s="148">
        <f>_xlfn.MAXIFS(交易历史!B:B,交易历史!A:A,A30)</f>
        <v>200</v>
      </c>
      <c r="D30" s="148" t="str">
        <f>INDEX(交易历史!C:C,MATCH(A30,交易历史!A:A,0))</f>
        <v>【SSR】Superior Super Rare</v>
      </c>
      <c r="E30" s="302" t="str">
        <f t="shared" si="2"/>
        <v>球员已拍定</v>
      </c>
      <c r="F30" s="303"/>
    </row>
    <row r="31" ht="45" customHeight="1" spans="1:6">
      <c r="A31" s="148" t="s">
        <v>61</v>
      </c>
      <c r="B31" s="148" t="s">
        <v>62</v>
      </c>
      <c r="C31" s="148">
        <f>_xlfn.MAXIFS(交易历史!B:B,交易历史!A:A,A31)</f>
        <v>40</v>
      </c>
      <c r="D31" s="148" t="str">
        <f>INDEX(交易历史!C:C,MATCH(A31,交易历史!A:A,0))</f>
        <v>【Miniworld】迷你世界</v>
      </c>
      <c r="E31" s="302" t="str">
        <f t="shared" si="2"/>
        <v>球员已拍定</v>
      </c>
      <c r="F31" s="303"/>
    </row>
    <row r="32" ht="45" customHeight="1" spans="1:6">
      <c r="A32" s="148" t="s">
        <v>63</v>
      </c>
      <c r="B32" s="148" t="s">
        <v>64</v>
      </c>
      <c r="C32" s="148">
        <f>_xlfn.MAXIFS(交易历史!B:B,交易历史!A:A,A32)</f>
        <v>10</v>
      </c>
      <c r="D32" s="148" t="str">
        <f>INDEX(交易历史!C:C,MATCH(A32,交易历史!A:A,0))</f>
        <v>【SSR】Superior Super Rare</v>
      </c>
      <c r="E32" s="302" t="str">
        <f t="shared" si="2"/>
        <v>球员已拍定</v>
      </c>
      <c r="F32" s="303"/>
    </row>
    <row r="33" ht="45" customHeight="1" spans="1:6">
      <c r="A33" s="148" t="s">
        <v>65</v>
      </c>
      <c r="B33" s="148" t="s">
        <v>66</v>
      </c>
      <c r="C33" s="148">
        <f>_xlfn.MAXIFS(交易历史!B:B,交易历史!A:A,A33)</f>
        <v>20</v>
      </c>
      <c r="D33" s="148" t="str">
        <f>INDEX(交易历史!C:C,MATCH(A33,交易历史!A:A,0))</f>
        <v>【TV】Team Vitality</v>
      </c>
      <c r="E33" s="302" t="str">
        <f t="shared" si="2"/>
        <v>球员已拍定</v>
      </c>
      <c r="F33" s="303"/>
    </row>
    <row r="34" ht="45" customHeight="1" spans="1:6">
      <c r="A34" s="148" t="s">
        <v>67</v>
      </c>
      <c r="B34" s="148" t="s">
        <v>67</v>
      </c>
      <c r="C34" s="148">
        <f>_xlfn.MAXIFS(交易历史!B:B,交易历史!A:A,A34)</f>
        <v>50</v>
      </c>
      <c r="D34" s="148" t="str">
        <f>INDEX(交易历史!C:C,MATCH(A34,交易历史!A:A,0))</f>
        <v>【NikoFC】NikoCN Fanclub</v>
      </c>
      <c r="E34" s="302" t="str">
        <f t="shared" si="2"/>
        <v>球员已拍定</v>
      </c>
      <c r="F34" s="303"/>
    </row>
    <row r="35" ht="45" customHeight="1" spans="1:6">
      <c r="A35" s="148" t="s">
        <v>68</v>
      </c>
      <c r="B35" s="148" t="s">
        <v>69</v>
      </c>
      <c r="C35" s="148">
        <f>_xlfn.MAXIFS(交易历史!B:B,交易历史!A:A,A35)</f>
        <v>0</v>
      </c>
      <c r="D35" s="148" t="str">
        <f>INDEX(交易历史!C:C,MATCH(A35,交易历史!A:A,0))</f>
        <v>【CbHz】吃饱喝足就是玩</v>
      </c>
      <c r="E35" s="302" t="str">
        <f t="shared" si="2"/>
        <v>球员已拍定</v>
      </c>
      <c r="F35" s="303"/>
    </row>
    <row r="36" ht="45" customHeight="1" spans="1:6">
      <c r="A36" s="148" t="s">
        <v>70</v>
      </c>
      <c r="B36" s="148" t="s">
        <v>70</v>
      </c>
      <c r="C36" s="148">
        <f>_xlfn.MAXIFS(交易历史!B:B,交易历史!A:A,A36)</f>
        <v>0</v>
      </c>
      <c r="D36" s="148" t="str">
        <f>INDEX(交易历史!C:C,MATCH(A36,交易历史!A:A,0))</f>
        <v>【G2】G2‭</v>
      </c>
      <c r="E36" s="302" t="str">
        <f t="shared" si="2"/>
        <v>球员已拍定</v>
      </c>
      <c r="F36" s="303"/>
    </row>
    <row r="37" ht="45" customHeight="1" spans="1:6">
      <c r="A37" s="148" t="s">
        <v>71</v>
      </c>
      <c r="B37" s="148" t="s">
        <v>71</v>
      </c>
      <c r="C37" s="148">
        <f>_xlfn.MAXIFS(交易历史!B:B,交易历史!A:A,A37)</f>
        <v>60</v>
      </c>
      <c r="D37" s="148" t="str">
        <f>INDEX(交易历史!C:C,MATCH(A37,交易历史!A:A,0))</f>
        <v>【TV】Team Vitality</v>
      </c>
      <c r="E37" s="302" t="str">
        <f t="shared" si="2"/>
        <v>球员已拍定</v>
      </c>
      <c r="F37" s="303"/>
    </row>
    <row r="38" ht="45" customHeight="1" spans="1:6">
      <c r="A38" s="305" t="s">
        <v>72</v>
      </c>
      <c r="B38" s="148" t="s">
        <v>73</v>
      </c>
      <c r="C38" s="148">
        <f>_xlfn.MAXIFS(交易历史!B:B,交易历史!A:A,A38)</f>
        <v>20</v>
      </c>
      <c r="D38" s="148" t="str">
        <f>INDEX(交易历史!C:C,MATCH(A38,交易历史!A:A,0))</f>
        <v>【AWO】逃出生天</v>
      </c>
      <c r="E38" s="302" t="str">
        <f t="shared" si="2"/>
        <v>球员已拍定</v>
      </c>
      <c r="F38" s="303"/>
    </row>
    <row r="39" ht="45" customHeight="1" spans="1:6">
      <c r="A39" s="148" t="s">
        <v>74</v>
      </c>
      <c r="B39" s="148" t="s">
        <v>74</v>
      </c>
      <c r="C39" s="148">
        <f>_xlfn.MAXIFS(交易历史!B:B,交易历史!A:A,A39)</f>
        <v>20</v>
      </c>
      <c r="D39" s="148" t="str">
        <f>INDEX(交易历史!C:C,MATCH(A39,交易历史!A:A,0))</f>
        <v>【Miniworld】迷你世界</v>
      </c>
      <c r="E39" s="302" t="str">
        <f t="shared" si="2"/>
        <v>球员已拍定</v>
      </c>
      <c r="F39" s="303"/>
    </row>
    <row r="40" ht="45" customHeight="1" spans="1:6">
      <c r="A40" s="148" t="s">
        <v>75</v>
      </c>
      <c r="B40" s="148" t="s">
        <v>75</v>
      </c>
      <c r="C40" s="148">
        <f>_xlfn.MAXIFS(交易历史!B:B,交易历史!A:A,A40)</f>
        <v>350</v>
      </c>
      <c r="D40" s="148" t="str">
        <f>INDEX(交易历史!C:C,MATCH(A40,交易历史!A:A,0))</f>
        <v>【G2】G2‭</v>
      </c>
      <c r="E40" s="302" t="str">
        <f t="shared" si="2"/>
        <v>球员已拍定</v>
      </c>
      <c r="F40" s="303"/>
    </row>
    <row r="41" ht="45" customHeight="1" spans="1:6">
      <c r="A41" s="148" t="s">
        <v>76</v>
      </c>
      <c r="B41" s="148" t="s">
        <v>77</v>
      </c>
      <c r="C41" s="148">
        <f>_xlfn.MAXIFS(交易历史!B:B,交易历史!A:A,A41)</f>
        <v>360</v>
      </c>
      <c r="D41" s="148" t="str">
        <f>INDEX(交易历史!C:C,MATCH(A41,交易历史!A:A,0))</f>
        <v>【OldH】老H犟嘴</v>
      </c>
      <c r="E41" s="302" t="str">
        <f t="shared" si="2"/>
        <v>球员已拍定</v>
      </c>
      <c r="F41" s="303"/>
    </row>
    <row r="42" ht="45" customHeight="1" spans="1:6">
      <c r="A42" s="148" t="s">
        <v>78</v>
      </c>
      <c r="B42" s="148" t="s">
        <v>79</v>
      </c>
      <c r="C42" s="148">
        <f>_xlfn.MAXIFS(交易历史!B:B,交易历史!A:A,A42)</f>
        <v>800</v>
      </c>
      <c r="D42" s="148" t="str">
        <f>INDEX(交易历史!C:C,MATCH(A42,交易历史!A:A,0))</f>
        <v>【CbHz】吃饱喝足就是玩</v>
      </c>
      <c r="E42" s="302" t="str">
        <f t="shared" si="2"/>
        <v>球员已拍定</v>
      </c>
      <c r="F42" s="303"/>
    </row>
    <row r="43" ht="45" customHeight="1" spans="1:6">
      <c r="A43" s="148" t="s">
        <v>80</v>
      </c>
      <c r="B43" s="148" t="s">
        <v>81</v>
      </c>
      <c r="C43" s="148">
        <f>_xlfn.MAXIFS(交易历史!B:B,交易历史!A:A,A43)</f>
        <v>700</v>
      </c>
      <c r="D43" s="148" t="str">
        <f>INDEX(交易历史!C:C,MATCH(A43,交易历史!A:A,0))</f>
        <v>【SSR】Superior Super Rare</v>
      </c>
      <c r="E43" s="302" t="str">
        <f t="shared" si="2"/>
        <v>球员已拍定</v>
      </c>
      <c r="F43" s="303"/>
    </row>
    <row r="44" ht="45" customHeight="1" spans="1:6">
      <c r="A44" s="148" t="s">
        <v>82</v>
      </c>
      <c r="B44" s="148" t="s">
        <v>83</v>
      </c>
      <c r="C44" s="148">
        <f>_xlfn.MAXIFS(交易历史!B:B,交易历史!A:A,A44)</f>
        <v>100</v>
      </c>
      <c r="D44" s="148" t="str">
        <f>INDEX(交易历史!C:C,MATCH(A44,交易历史!A:A,0))</f>
        <v>【OldH】老H犟嘴</v>
      </c>
      <c r="E44" s="302" t="str">
        <f t="shared" si="2"/>
        <v>球员已拍定</v>
      </c>
      <c r="F44" s="303"/>
    </row>
    <row r="45" ht="45" customHeight="1" spans="1:6">
      <c r="A45" s="148" t="s">
        <v>84</v>
      </c>
      <c r="B45" s="148" t="s">
        <v>84</v>
      </c>
      <c r="C45" s="148">
        <f>_xlfn.MAXIFS(交易历史!B:B,交易历史!A:A,A45)</f>
        <v>60</v>
      </c>
      <c r="D45" s="148" t="str">
        <f>INDEX(交易历史!C:C,MATCH(A45,交易历史!A:A,0))</f>
        <v>【Miniworld】迷你世界</v>
      </c>
      <c r="E45" s="302" t="str">
        <f t="shared" si="2"/>
        <v>球员已拍定</v>
      </c>
      <c r="F45" s="303"/>
    </row>
    <row r="46" ht="45" customHeight="1" spans="1:6">
      <c r="A46" s="148" t="s">
        <v>85</v>
      </c>
      <c r="B46" s="148" t="s">
        <v>86</v>
      </c>
      <c r="C46" s="148">
        <f>_xlfn.MAXIFS(交易历史!B:B,交易历史!A:A,A46)</f>
        <v>30</v>
      </c>
      <c r="D46" s="148" t="str">
        <f>INDEX(交易历史!C:C,MATCH(A46,交易历史!A:A,0))</f>
        <v>【OldH】老H犟嘴</v>
      </c>
      <c r="E46" s="302" t="str">
        <f t="shared" si="2"/>
        <v>球员已拍定</v>
      </c>
      <c r="F46" s="303"/>
    </row>
    <row r="47" ht="45" customHeight="1" spans="1:6">
      <c r="A47" s="148" t="s">
        <v>87</v>
      </c>
      <c r="B47" s="148" t="s">
        <v>87</v>
      </c>
      <c r="C47" s="148">
        <f>_xlfn.MAXIFS(交易历史!B:B,交易历史!A:A,A47)</f>
        <v>30</v>
      </c>
      <c r="D47" s="148" t="str">
        <f>INDEX(交易历史!C:C,MATCH(A47,交易历史!A:A,0))</f>
        <v>【Miniworld】迷你世界</v>
      </c>
      <c r="E47" s="302" t="str">
        <f t="shared" si="2"/>
        <v>球员已拍定</v>
      </c>
      <c r="F47" s="303"/>
    </row>
    <row r="48" ht="45" customHeight="1" spans="1:6">
      <c r="A48" s="148" t="s">
        <v>88</v>
      </c>
      <c r="B48" s="148" t="s">
        <v>88</v>
      </c>
      <c r="C48" s="148">
        <f>_xlfn.MAXIFS(交易历史!B:B,交易历史!A:A,A48)</f>
        <v>30</v>
      </c>
      <c r="D48" s="148" t="str">
        <f>INDEX(交易历史!C:C,MATCH(A48,交易历史!A:A,0))</f>
        <v>【NikoFC】NikoCN Fanclub</v>
      </c>
      <c r="E48" s="302" t="str">
        <f t="shared" si="2"/>
        <v>球员已拍定</v>
      </c>
      <c r="F48" s="303"/>
    </row>
    <row r="49" ht="45" customHeight="1" spans="1:6">
      <c r="A49" s="148" t="s">
        <v>89</v>
      </c>
      <c r="B49" s="148" t="s">
        <v>90</v>
      </c>
      <c r="C49" s="148">
        <f>_xlfn.MAXIFS(交易历史!B:B,交易历史!A:A,A49)</f>
        <v>10</v>
      </c>
      <c r="D49" s="148" t="str">
        <f>INDEX(交易历史!C:C,MATCH(A49,交易历史!A:A,0))</f>
        <v>【CbHz】吃饱喝足就是玩</v>
      </c>
      <c r="E49" s="302" t="str">
        <f t="shared" si="2"/>
        <v>球员已拍定</v>
      </c>
      <c r="F49" s="303"/>
    </row>
    <row r="50" ht="45" customHeight="1" spans="1:6">
      <c r="A50" s="148" t="s">
        <v>91</v>
      </c>
      <c r="B50" s="148" t="s">
        <v>92</v>
      </c>
      <c r="C50" s="148">
        <f>_xlfn.MAXIFS(交易历史!B:B,交易历史!A:A,A50)</f>
        <v>510</v>
      </c>
      <c r="D50" s="148" t="str">
        <f>INDEX(交易历史!C:C,MATCH(A50,交易历史!A:A,0))</f>
        <v>【NikoFC】NikoCN Fanclub</v>
      </c>
      <c r="E50" s="302" t="str">
        <f t="shared" si="2"/>
        <v>球员已拍定</v>
      </c>
      <c r="F50" s="303"/>
    </row>
    <row r="51" ht="45" customHeight="1" spans="1:6">
      <c r="A51" s="148" t="s">
        <v>93</v>
      </c>
      <c r="B51" s="148" t="s">
        <v>94</v>
      </c>
      <c r="C51" s="148">
        <f>_xlfn.MAXIFS(交易历史!B:B,交易历史!A:A,A51)</f>
        <v>500</v>
      </c>
      <c r="D51" s="148" t="str">
        <f>INDEX(交易历史!C:C,MATCH(A51,交易历史!A:A,0))</f>
        <v>【CbHz】吃饱喝足就是玩</v>
      </c>
      <c r="E51" s="302" t="str">
        <f t="shared" si="2"/>
        <v>球员已拍定</v>
      </c>
      <c r="F51" s="303"/>
    </row>
    <row r="52" ht="45" customHeight="1" spans="1:6">
      <c r="A52" s="148" t="s">
        <v>95</v>
      </c>
      <c r="B52" s="148" t="s">
        <v>96</v>
      </c>
      <c r="C52" s="148">
        <f>_xlfn.MAXIFS(交易历史!B:B,交易历史!A:A,A52)</f>
        <v>0</v>
      </c>
      <c r="D52" s="148" t="str">
        <f>INDEX(交易历史!C:C,MATCH(A52,交易历史!A:A,0))</f>
        <v>【CbHz】吃饱喝足就是玩</v>
      </c>
      <c r="E52" s="302" t="str">
        <f t="shared" si="2"/>
        <v>球员已拍定</v>
      </c>
      <c r="F52" s="303"/>
    </row>
    <row r="53" ht="45" customHeight="1" spans="1:6">
      <c r="A53" s="148" t="s">
        <v>97</v>
      </c>
      <c r="B53" s="148" t="s">
        <v>97</v>
      </c>
      <c r="C53" s="148">
        <f>_xlfn.MAXIFS(交易历史!B:B,交易历史!A:A,A53)</f>
        <v>760</v>
      </c>
      <c r="D53" s="148" t="str">
        <f>INDEX(交易历史!C:C,MATCH(A53,交易历史!A:A,0))</f>
        <v>【NikoFC】NikoCN Fanclub</v>
      </c>
      <c r="E53" s="302" t="str">
        <f t="shared" si="2"/>
        <v>球员已拍定</v>
      </c>
      <c r="F53" s="303"/>
    </row>
    <row r="54" ht="45" customHeight="1" spans="1:6">
      <c r="A54" s="148" t="s">
        <v>98</v>
      </c>
      <c r="B54" s="148" t="s">
        <v>98</v>
      </c>
      <c r="C54" s="148">
        <f>_xlfn.MAXIFS(交易历史!B:B,交易历史!A:A,A54)</f>
        <v>300</v>
      </c>
      <c r="D54" s="148" t="str">
        <f>INDEX(交易历史!C:C,MATCH(A54,交易历史!A:A,0))</f>
        <v>【Miniworld】迷你世界</v>
      </c>
      <c r="E54" s="302" t="str">
        <f t="shared" si="2"/>
        <v>球员已拍定</v>
      </c>
      <c r="F54" s="303"/>
    </row>
    <row r="55" ht="45" customHeight="1" spans="1:6">
      <c r="A55" s="148" t="s">
        <v>99</v>
      </c>
      <c r="B55" s="148" t="s">
        <v>100</v>
      </c>
      <c r="C55" s="148">
        <f>_xlfn.MAXIFS(交易历史!B:B,交易历史!A:A,A55)</f>
        <v>500</v>
      </c>
      <c r="D55" s="148" t="str">
        <f>INDEX(交易历史!C:C,MATCH(A55,交易历史!A:A,0))</f>
        <v>【OldH】老H犟嘴</v>
      </c>
      <c r="E55" s="302" t="str">
        <f t="shared" si="2"/>
        <v>球员已拍定</v>
      </c>
      <c r="F55" s="303"/>
    </row>
    <row r="56" ht="45" customHeight="1" spans="1:6">
      <c r="A56" s="148" t="s">
        <v>101</v>
      </c>
      <c r="B56" s="148" t="s">
        <v>101</v>
      </c>
      <c r="C56" s="148">
        <f>_xlfn.MAXIFS(交易历史!B:B,交易历史!A:A,A56)</f>
        <v>130</v>
      </c>
      <c r="D56" s="148" t="str">
        <f>INDEX(交易历史!C:C,MATCH(A56,交易历史!A:A,0))</f>
        <v>【AWO】逃出生天</v>
      </c>
      <c r="E56" s="302" t="str">
        <f t="shared" si="2"/>
        <v>球员已拍定</v>
      </c>
      <c r="F56" s="303"/>
    </row>
    <row r="57" ht="45" customHeight="1" spans="1:6">
      <c r="A57" s="148" t="s">
        <v>102</v>
      </c>
      <c r="B57" s="148" t="s">
        <v>103</v>
      </c>
      <c r="C57" s="148">
        <f>_xlfn.MAXIFS(交易历史!B:B,交易历史!A:A,A57)</f>
        <v>250</v>
      </c>
      <c r="D57" s="148" t="str">
        <f>INDEX(交易历史!C:C,MATCH(A57,交易历史!A:A,0))</f>
        <v>【CbHz】吃饱喝足就是玩</v>
      </c>
      <c r="E57" s="302" t="str">
        <f t="shared" si="2"/>
        <v>球员已拍定</v>
      </c>
      <c r="F57" s="303"/>
    </row>
    <row r="58" ht="45" customHeight="1" spans="1:6">
      <c r="A58" s="148" t="s">
        <v>104</v>
      </c>
      <c r="B58" s="148" t="s">
        <v>104</v>
      </c>
      <c r="C58" s="148">
        <f>_xlfn.MAXIFS(交易历史!B:B,交易历史!A:A,A58)</f>
        <v>100</v>
      </c>
      <c r="D58" s="148" t="str">
        <f>INDEX(交易历史!C:C,MATCH(A58,交易历史!A:A,0))</f>
        <v>【OldH】老H犟嘴</v>
      </c>
      <c r="E58" s="302" t="str">
        <f t="shared" si="2"/>
        <v>球员已拍定</v>
      </c>
      <c r="F58" s="303"/>
    </row>
    <row r="59" ht="45" customHeight="1" spans="1:6">
      <c r="A59" s="148" t="s">
        <v>105</v>
      </c>
      <c r="B59" s="148" t="s">
        <v>106</v>
      </c>
      <c r="C59" s="148">
        <f>_xlfn.MAXIFS(交易历史!B:B,交易历史!A:A,A59)</f>
        <v>40</v>
      </c>
      <c r="D59" s="148" t="str">
        <f>INDEX(交易历史!C:C,MATCH(A59,交易历史!A:A,0))</f>
        <v>【SSR】Superior Super Rare</v>
      </c>
      <c r="E59" s="302" t="str">
        <f t="shared" si="2"/>
        <v>球员已拍定</v>
      </c>
      <c r="F59" s="303"/>
    </row>
    <row r="60" ht="45" customHeight="1" spans="1:6">
      <c r="A60" s="148" t="s">
        <v>107</v>
      </c>
      <c r="B60" s="148" t="s">
        <v>107</v>
      </c>
      <c r="C60" s="148">
        <f>_xlfn.MAXIFS(交易历史!B:B,交易历史!A:A,A60)</f>
        <v>10</v>
      </c>
      <c r="D60" s="148" t="str">
        <f>INDEX(交易历史!C:C,MATCH(A60,交易历史!A:A,0))</f>
        <v>【NikoFC】NikoCN Fanclub</v>
      </c>
      <c r="E60" s="302" t="str">
        <f t="shared" si="2"/>
        <v>球员已拍定</v>
      </c>
      <c r="F60" s="303"/>
    </row>
    <row r="61" ht="45" customHeight="1" spans="1:6">
      <c r="A61" s="148" t="s">
        <v>108</v>
      </c>
      <c r="B61" s="148" t="s">
        <v>109</v>
      </c>
      <c r="C61" s="148">
        <f>_xlfn.MAXIFS(交易历史!B:B,交易历史!A:A,A61)</f>
        <v>700</v>
      </c>
      <c r="D61" s="148" t="str">
        <f>INDEX(交易历史!C:C,MATCH(A61,交易历史!A:A,0))</f>
        <v>【SSR】Superior Super Rare</v>
      </c>
      <c r="E61" s="302" t="str">
        <f t="shared" si="2"/>
        <v>球员已拍定</v>
      </c>
      <c r="F61" s="303"/>
    </row>
    <row r="62" ht="45" customHeight="1" spans="1:6">
      <c r="A62" s="148" t="s">
        <v>110</v>
      </c>
      <c r="B62" s="148" t="s">
        <v>110</v>
      </c>
      <c r="C62" s="148">
        <f>_xlfn.MAXIFS(交易历史!B:B,交易历史!A:A,A62)</f>
        <v>850</v>
      </c>
      <c r="D62" s="148" t="str">
        <f>INDEX(交易历史!C:C,MATCH(A62,交易历史!A:A,0))</f>
        <v>【Miniworld】迷你世界</v>
      </c>
      <c r="E62" s="302" t="str">
        <f t="shared" si="2"/>
        <v>球员已拍定</v>
      </c>
      <c r="F62" s="303"/>
    </row>
    <row r="63" ht="45" customHeight="1" spans="1:6">
      <c r="A63" s="148" t="s">
        <v>111</v>
      </c>
      <c r="B63" s="148" t="s">
        <v>112</v>
      </c>
      <c r="C63" s="148">
        <f>_xlfn.MAXIFS(交易历史!B:B,交易历史!A:A,A63)</f>
        <v>80</v>
      </c>
      <c r="D63" s="148" t="str">
        <f>INDEX(交易历史!C:C,MATCH(A63,交易历史!A:A,0))</f>
        <v>【AWO】逃出生天</v>
      </c>
      <c r="E63" s="302" t="str">
        <f t="shared" si="2"/>
        <v>球员已拍定</v>
      </c>
      <c r="F63" s="303"/>
    </row>
    <row r="64" ht="45" customHeight="1" spans="1:6">
      <c r="A64" s="148" t="s">
        <v>113</v>
      </c>
      <c r="B64" s="148" t="s">
        <v>114</v>
      </c>
      <c r="C64" s="148">
        <f>_xlfn.MAXIFS(交易历史!B:B,交易历史!A:A,A64)</f>
        <v>0</v>
      </c>
      <c r="D64" s="148" t="str">
        <f>INDEX(交易历史!C:C,MATCH(A64,交易历史!A:A,0))</f>
        <v>【CbHz】吃饱喝足就是玩</v>
      </c>
      <c r="E64" s="302" t="str">
        <f t="shared" si="2"/>
        <v>球员已拍定</v>
      </c>
      <c r="F64" s="303"/>
    </row>
    <row r="65" ht="45" customHeight="1" spans="1:6">
      <c r="A65" s="148" t="s">
        <v>115</v>
      </c>
      <c r="B65" s="148" t="s">
        <v>115</v>
      </c>
      <c r="C65" s="148">
        <f>_xlfn.MAXIFS(交易历史!B:B,交易历史!A:A,A65)</f>
        <v>160</v>
      </c>
      <c r="D65" s="148" t="str">
        <f>INDEX(交易历史!C:C,MATCH(A65,交易历史!A:A,0))</f>
        <v>【OldH】老H犟嘴</v>
      </c>
      <c r="E65" s="302" t="str">
        <f t="shared" si="2"/>
        <v>球员已拍定</v>
      </c>
      <c r="F65" s="303"/>
    </row>
    <row r="66" ht="45" customHeight="1" spans="1:6">
      <c r="A66" s="148" t="s">
        <v>116</v>
      </c>
      <c r="B66" s="148" t="s">
        <v>117</v>
      </c>
      <c r="C66" s="148">
        <f>_xlfn.MAXIFS(交易历史!B:B,交易历史!A:A,A66)</f>
        <v>410</v>
      </c>
      <c r="D66" s="148" t="str">
        <f>INDEX(交易历史!C:C,MATCH(A66,交易历史!A:A,0))</f>
        <v>【SSR】Superior Super Rare</v>
      </c>
      <c r="E66" s="302" t="str">
        <f t="shared" si="2"/>
        <v>球员已拍定</v>
      </c>
      <c r="F66" s="303"/>
    </row>
    <row r="67" ht="45" customHeight="1" spans="1:6">
      <c r="A67" s="148" t="s">
        <v>118</v>
      </c>
      <c r="B67" s="148" t="s">
        <v>119</v>
      </c>
      <c r="C67" s="148">
        <f>_xlfn.MAXIFS(交易历史!B:B,交易历史!A:A,A67)</f>
        <v>190</v>
      </c>
      <c r="D67" s="148" t="str">
        <f>INDEX(交易历史!C:C,MATCH(A67,交易历史!A:A,0))</f>
        <v>【G2】G2‭</v>
      </c>
      <c r="E67" s="302" t="str">
        <f>IF(AND(NOT(ISBLANK(C67)),NOT(ISBLANK(D67)),ISERROR(SEARCH("流拍待定",D67))),"球员已拍定",IF(ISNUMBER(SEARCH("流拍待定",D67)),"流拍待定",IF(AND(OR(ISBLANK(C67),ISBLANK(D67)),NOT(ISBLANK(#REF!)),NOT(ISBLANK(#REF!))),"正在竞拍","")))</f>
        <v>球员已拍定</v>
      </c>
      <c r="F67" s="303"/>
    </row>
    <row r="68" ht="45" customHeight="1" spans="1:6">
      <c r="A68" s="148" t="s">
        <v>120</v>
      </c>
      <c r="B68" s="148" t="s">
        <v>121</v>
      </c>
      <c r="C68" s="148">
        <f>_xlfn.MAXIFS(交易历史!B:B,交易历史!A:A,A68)</f>
        <v>190</v>
      </c>
      <c r="D68" s="148" t="str">
        <f>INDEX(交易历史!C:C,MATCH(A68,交易历史!A:A,0))</f>
        <v>【AWO】逃出生天</v>
      </c>
      <c r="E68" s="302" t="str">
        <f t="shared" ref="E68:E93" si="3">IF(AND(NOT(ISBLANK(C68)),NOT(ISBLANK(D68)),ISERROR(SEARCH("流拍待定",D68))),"球员已拍定",IF(ISNUMBER(SEARCH("流拍待定",D68)),"流拍待定",IF(AND(OR(ISBLANK(C68),ISBLANK(D68)),NOT(ISBLANK(C67)),NOT(ISBLANK(D67))),"正在竞拍","")))</f>
        <v>球员已拍定</v>
      </c>
      <c r="F68" s="303"/>
    </row>
    <row r="69" ht="45" customHeight="1" spans="1:6">
      <c r="A69" s="148" t="s">
        <v>122</v>
      </c>
      <c r="B69" s="148" t="s">
        <v>123</v>
      </c>
      <c r="C69" s="148">
        <f>_xlfn.MAXIFS(交易历史!B:B,交易历史!A:A,A69)</f>
        <v>350</v>
      </c>
      <c r="D69" s="148" t="str">
        <f>INDEX(交易历史!C:C,MATCH(A69,交易历史!A:A,0))</f>
        <v>【Miniworld】迷你世界</v>
      </c>
      <c r="E69" s="302" t="str">
        <f t="shared" si="3"/>
        <v>球员已拍定</v>
      </c>
      <c r="F69" s="303"/>
    </row>
    <row r="70" ht="45" customHeight="1" spans="1:6">
      <c r="A70" s="148" t="s">
        <v>124</v>
      </c>
      <c r="B70" s="148" t="s">
        <v>125</v>
      </c>
      <c r="C70" s="148">
        <f>_xlfn.MAXIFS(交易历史!B:B,交易历史!A:A,A70)</f>
        <v>1000</v>
      </c>
      <c r="D70" s="148" t="str">
        <f>INDEX(交易历史!C:C,MATCH(A70,交易历史!A:A,0))</f>
        <v>【TV】Team Vitality</v>
      </c>
      <c r="E70" s="302" t="str">
        <f t="shared" si="3"/>
        <v>球员已拍定</v>
      </c>
      <c r="F70" s="303"/>
    </row>
    <row r="71" ht="45" customHeight="1" spans="1:6">
      <c r="A71" s="148" t="s">
        <v>126</v>
      </c>
      <c r="B71" s="148" t="s">
        <v>126</v>
      </c>
      <c r="C71" s="148">
        <f>_xlfn.MAXIFS(交易历史!B:B,交易历史!A:A,A71)</f>
        <v>850</v>
      </c>
      <c r="D71" s="148" t="str">
        <f>INDEX(交易历史!C:C,MATCH(A71,交易历史!A:A,0))</f>
        <v>【AWO】逃出生天</v>
      </c>
      <c r="E71" s="302" t="str">
        <f t="shared" si="3"/>
        <v>球员已拍定</v>
      </c>
      <c r="F71" s="303"/>
    </row>
    <row r="72" ht="45" customHeight="1" spans="1:6">
      <c r="A72" s="148" t="s">
        <v>127</v>
      </c>
      <c r="B72" s="148" t="s">
        <v>128</v>
      </c>
      <c r="C72" s="148">
        <f>_xlfn.MAXIFS(交易历史!B:B,交易历史!A:A,A72)</f>
        <v>10</v>
      </c>
      <c r="D72" s="148" t="str">
        <f>INDEX(交易历史!C:C,MATCH(A72,交易历史!A:A,0))</f>
        <v>【TV】Team Vitality</v>
      </c>
      <c r="E72" s="302" t="str">
        <f t="shared" si="3"/>
        <v>球员已拍定</v>
      </c>
      <c r="F72" s="303"/>
    </row>
    <row r="73" ht="45" customHeight="1" spans="1:6">
      <c r="A73" s="148" t="s">
        <v>129</v>
      </c>
      <c r="B73" s="148" t="s">
        <v>130</v>
      </c>
      <c r="C73" s="148">
        <f>_xlfn.MAXIFS(交易历史!B:B,交易历史!A:A,A73)</f>
        <v>20</v>
      </c>
      <c r="D73" s="148" t="str">
        <f>INDEX(交易历史!C:C,MATCH(A73,交易历史!A:A,0))</f>
        <v>【TV】Team Vitality</v>
      </c>
      <c r="E73" s="302" t="str">
        <f t="shared" si="3"/>
        <v>球员已拍定</v>
      </c>
      <c r="F73" s="303"/>
    </row>
    <row r="74" ht="45" customHeight="1" spans="1:6">
      <c r="A74" s="148" t="s">
        <v>131</v>
      </c>
      <c r="B74" s="148" t="s">
        <v>132</v>
      </c>
      <c r="C74" s="148">
        <f>_xlfn.MAXIFS(交易历史!B:B,交易历史!A:A,A74)</f>
        <v>400</v>
      </c>
      <c r="D74" s="148" t="str">
        <f>INDEX(交易历史!C:C,MATCH(A74,交易历史!A:A,0))</f>
        <v>【G2】G2‭</v>
      </c>
      <c r="E74" s="302" t="str">
        <f t="shared" si="3"/>
        <v>球员已拍定</v>
      </c>
      <c r="F74" s="303"/>
    </row>
    <row r="75" ht="45" customHeight="1" spans="1:6">
      <c r="A75" s="148" t="s">
        <v>133</v>
      </c>
      <c r="B75" s="148" t="s">
        <v>134</v>
      </c>
      <c r="C75" s="148">
        <f>_xlfn.MAXIFS(交易历史!B:B,交易历史!A:A,A75)</f>
        <v>90</v>
      </c>
      <c r="D75" s="148" t="str">
        <f>INDEX(交易历史!C:C,MATCH(A75,交易历史!A:A,0))</f>
        <v>【AWO】逃出生天</v>
      </c>
      <c r="E75" s="302" t="str">
        <f t="shared" si="3"/>
        <v>球员已拍定</v>
      </c>
      <c r="F75" s="303"/>
    </row>
    <row r="76" ht="45" customHeight="1" spans="1:6">
      <c r="A76" s="148" t="s">
        <v>135</v>
      </c>
      <c r="B76" s="148" t="s">
        <v>135</v>
      </c>
      <c r="C76" s="148">
        <f>_xlfn.MAXIFS(交易历史!B:B,交易历史!A:A,A76)</f>
        <v>90</v>
      </c>
      <c r="D76" s="148" t="str">
        <f>INDEX(交易历史!C:C,MATCH(A76,交易历史!A:A,0))</f>
        <v>【OldH】老H犟嘴</v>
      </c>
      <c r="E76" s="302" t="str">
        <f t="shared" si="3"/>
        <v>球员已拍定</v>
      </c>
      <c r="F76" s="303"/>
    </row>
    <row r="77" ht="45" customHeight="1" spans="1:6">
      <c r="A77" s="148" t="s">
        <v>136</v>
      </c>
      <c r="B77" s="148" t="s">
        <v>136</v>
      </c>
      <c r="C77" s="148">
        <f>_xlfn.MAXIFS(交易历史!B:B,交易历史!A:A,A77)</f>
        <v>380</v>
      </c>
      <c r="D77" s="148" t="str">
        <f>INDEX(交易历史!C:C,MATCH(A77,交易历史!A:A,0))</f>
        <v>【OldH】老H犟嘴</v>
      </c>
      <c r="E77" s="302" t="str">
        <f t="shared" si="3"/>
        <v>球员已拍定</v>
      </c>
      <c r="F77" s="303"/>
    </row>
    <row r="78" ht="45" customHeight="1" spans="1:6">
      <c r="A78" s="148" t="s">
        <v>137</v>
      </c>
      <c r="B78" s="148" t="s">
        <v>137</v>
      </c>
      <c r="C78" s="148">
        <f>_xlfn.MAXIFS(交易历史!B:B,交易历史!A:A,A78)</f>
        <v>120</v>
      </c>
      <c r="D78" s="148" t="str">
        <f>INDEX(交易历史!C:C,MATCH(A78,交易历史!A:A,0))</f>
        <v>【TV】Team Vitality</v>
      </c>
      <c r="E78" s="302" t="str">
        <f t="shared" si="3"/>
        <v>球员已拍定</v>
      </c>
      <c r="F78" s="303"/>
    </row>
    <row r="79" ht="45" customHeight="1" spans="1:6">
      <c r="A79" s="148" t="s">
        <v>138</v>
      </c>
      <c r="B79" s="148" t="s">
        <v>138</v>
      </c>
      <c r="C79" s="148">
        <f>_xlfn.MAXIFS(交易历史!B:B,交易历史!A:A,A79)</f>
        <v>140</v>
      </c>
      <c r="D79" s="148" t="str">
        <f>INDEX(交易历史!C:C,MATCH(A79,交易历史!A:A,0))</f>
        <v>【G2】G2‭</v>
      </c>
      <c r="E79" s="302" t="str">
        <f t="shared" si="3"/>
        <v>球员已拍定</v>
      </c>
      <c r="F79" s="303"/>
    </row>
    <row r="80" ht="45" customHeight="1" spans="1:6">
      <c r="A80" s="148" t="s">
        <v>139</v>
      </c>
      <c r="B80" s="148" t="s">
        <v>140</v>
      </c>
      <c r="C80" s="148">
        <f>_xlfn.MAXIFS(交易历史!B:B,交易历史!A:A,A80)</f>
        <v>10</v>
      </c>
      <c r="D80" s="148" t="str">
        <f>INDEX(交易历史!C:C,MATCH(A80,交易历史!A:A,0))</f>
        <v>【CbHz】吃饱喝足就是玩</v>
      </c>
      <c r="E80" s="302" t="str">
        <f t="shared" si="3"/>
        <v>球员已拍定</v>
      </c>
      <c r="F80" s="303"/>
    </row>
    <row r="81" ht="45" customHeight="1" spans="1:6">
      <c r="A81" s="148" t="s">
        <v>141</v>
      </c>
      <c r="B81" s="148" t="s">
        <v>142</v>
      </c>
      <c r="C81" s="148">
        <f>_xlfn.MAXIFS(交易历史!B:B,交易历史!A:A,A81)</f>
        <v>120</v>
      </c>
      <c r="D81" s="148" t="str">
        <f>INDEX(交易历史!C:C,MATCH(A81,交易历史!A:A,0))</f>
        <v>【TV】Team Vitality</v>
      </c>
      <c r="E81" s="302" t="str">
        <f t="shared" si="3"/>
        <v>球员已拍定</v>
      </c>
      <c r="F81" s="303"/>
    </row>
    <row r="82" ht="45" customHeight="1" spans="1:6">
      <c r="A82" s="148" t="s">
        <v>143</v>
      </c>
      <c r="B82" s="148" t="s">
        <v>144</v>
      </c>
      <c r="C82" s="148">
        <f>_xlfn.MAXIFS(交易历史!B:B,交易历史!A:A,A82)</f>
        <v>150</v>
      </c>
      <c r="D82" s="148" t="str">
        <f>INDEX(交易历史!C:C,MATCH(A82,交易历史!A:A,0))</f>
        <v>【OldH】老H犟嘴</v>
      </c>
      <c r="E82" s="302" t="str">
        <f t="shared" si="3"/>
        <v>球员已拍定</v>
      </c>
      <c r="F82" s="303"/>
    </row>
    <row r="83" ht="45" customHeight="1" spans="1:6">
      <c r="A83" s="148" t="s">
        <v>145</v>
      </c>
      <c r="B83" s="148" t="s">
        <v>146</v>
      </c>
      <c r="C83" s="148">
        <f>_xlfn.MAXIFS(交易历史!B:B,交易历史!A:A,A83)</f>
        <v>100</v>
      </c>
      <c r="D83" s="148" t="str">
        <f>INDEX(交易历史!C:C,MATCH(A83,交易历史!A:A,0))</f>
        <v>【OldH】老H犟嘴</v>
      </c>
      <c r="E83" s="302" t="str">
        <f t="shared" si="3"/>
        <v>球员已拍定</v>
      </c>
      <c r="F83" s="303"/>
    </row>
    <row r="84" ht="45" customHeight="1" spans="1:6">
      <c r="A84" s="148" t="s">
        <v>147</v>
      </c>
      <c r="B84" s="148" t="s">
        <v>148</v>
      </c>
      <c r="C84" s="148">
        <f>_xlfn.MAXIFS(交易历史!B:B,交易历史!A:A,A84)</f>
        <v>210</v>
      </c>
      <c r="D84" s="148" t="str">
        <f>INDEX(交易历史!C:C,MATCH(A84,交易历史!A:A,0))</f>
        <v>【AWO】逃出生天</v>
      </c>
      <c r="E84" s="302" t="str">
        <f t="shared" si="3"/>
        <v>球员已拍定</v>
      </c>
      <c r="F84" s="303"/>
    </row>
    <row r="85" ht="45" customHeight="1" spans="1:6">
      <c r="A85" s="148" t="s">
        <v>149</v>
      </c>
      <c r="B85" s="148" t="s">
        <v>149</v>
      </c>
      <c r="C85" s="148">
        <f>_xlfn.MAXIFS(交易历史!B:B,交易历史!A:A,A85)</f>
        <v>0</v>
      </c>
      <c r="D85" s="148" t="str">
        <f>INDEX(交易历史!C:C,MATCH(A85,交易历史!A:A,0))</f>
        <v>【AWO】逃出生天</v>
      </c>
      <c r="E85" s="302" t="str">
        <f t="shared" si="3"/>
        <v>球员已拍定</v>
      </c>
      <c r="F85" s="303"/>
    </row>
    <row r="86" ht="45" customHeight="1" spans="1:6">
      <c r="A86" s="148" t="s">
        <v>150</v>
      </c>
      <c r="B86" s="148" t="s">
        <v>151</v>
      </c>
      <c r="C86" s="148">
        <f>_xlfn.MAXIFS(交易历史!B:B,交易历史!A:A,A86)</f>
        <v>0</v>
      </c>
      <c r="D86" s="148" t="str">
        <f>INDEX(交易历史!C:C,MATCH(A86,交易历史!A:A,0))</f>
        <v>【G2】G2‭</v>
      </c>
      <c r="E86" s="302" t="str">
        <f t="shared" si="3"/>
        <v>球员已拍定</v>
      </c>
      <c r="F86" s="303"/>
    </row>
    <row r="87" ht="45" customHeight="1" spans="1:6">
      <c r="A87" s="148" t="s">
        <v>152</v>
      </c>
      <c r="B87" s="148" t="s">
        <v>152</v>
      </c>
      <c r="C87" s="148">
        <f>_xlfn.MAXIFS(交易历史!B:B,交易历史!A:A,A87)</f>
        <v>130</v>
      </c>
      <c r="D87" s="148" t="str">
        <f>INDEX(交易历史!C:C,MATCH(A87,交易历史!A:A,0))</f>
        <v>【TV】Team Vitality</v>
      </c>
      <c r="E87" s="302" t="str">
        <f t="shared" si="3"/>
        <v>球员已拍定</v>
      </c>
      <c r="F87" s="303"/>
    </row>
    <row r="88" ht="45" customHeight="1" spans="1:6">
      <c r="A88" s="148" t="s">
        <v>153</v>
      </c>
      <c r="B88" s="148" t="s">
        <v>154</v>
      </c>
      <c r="C88" s="148">
        <f>_xlfn.MAXIFS(交易历史!B:B,交易历史!A:A,A88)</f>
        <v>10</v>
      </c>
      <c r="D88" s="148" t="str">
        <f>INDEX(交易历史!C:C,MATCH(A88,交易历史!A:A,0))</f>
        <v>【NikoFC】NikoCN Fanclub</v>
      </c>
      <c r="E88" s="302" t="str">
        <f t="shared" si="3"/>
        <v>球员已拍定</v>
      </c>
      <c r="F88" s="303"/>
    </row>
    <row r="89" ht="45" customHeight="1" spans="1:6">
      <c r="A89" s="148" t="s">
        <v>155</v>
      </c>
      <c r="B89" s="148" t="s">
        <v>156</v>
      </c>
      <c r="C89" s="148">
        <f>_xlfn.MAXIFS(交易历史!B:B,交易历史!A:A,A89)</f>
        <v>10</v>
      </c>
      <c r="D89" s="148" t="str">
        <f>INDEX(交易历史!C:C,MATCH(A89,交易历史!A:A,0))</f>
        <v>【G2】G2‭</v>
      </c>
      <c r="E89" s="302" t="str">
        <f t="shared" si="3"/>
        <v>球员已拍定</v>
      </c>
      <c r="F89" s="303"/>
    </row>
    <row r="90" ht="45" customHeight="1" spans="1:6">
      <c r="A90" s="148" t="s">
        <v>157</v>
      </c>
      <c r="B90" s="148" t="s">
        <v>157</v>
      </c>
      <c r="C90" s="148">
        <f>_xlfn.MAXIFS(交易历史!B:B,交易历史!A:A,A90)</f>
        <v>10</v>
      </c>
      <c r="D90" s="148" t="str">
        <f>INDEX(交易历史!C:C,MATCH(A90,交易历史!A:A,0))</f>
        <v>【NikoFC】NikoCN Fanclub</v>
      </c>
      <c r="E90" s="302" t="str">
        <f t="shared" si="3"/>
        <v>球员已拍定</v>
      </c>
      <c r="F90" s="303"/>
    </row>
    <row r="91" ht="45" customHeight="1" spans="1:6">
      <c r="A91" s="148" t="s">
        <v>158</v>
      </c>
      <c r="B91" s="148" t="s">
        <v>158</v>
      </c>
      <c r="C91" s="148">
        <f>_xlfn.MAXIFS(交易历史!B:B,交易历史!A:A,A91)</f>
        <v>0</v>
      </c>
      <c r="D91" s="148" t="str">
        <f>INDEX(交易历史!C:C,MATCH(A91,交易历史!A:A,0))</f>
        <v>【G2】G2‭</v>
      </c>
      <c r="E91" s="302" t="str">
        <f t="shared" si="3"/>
        <v>球员已拍定</v>
      </c>
      <c r="F91" s="303"/>
    </row>
    <row r="92" ht="45" customHeight="1" spans="1:6">
      <c r="A92" s="148" t="s">
        <v>159</v>
      </c>
      <c r="B92" s="148" t="s">
        <v>160</v>
      </c>
      <c r="C92" s="148">
        <f>_xlfn.MAXIFS(交易历史!B:B,交易历史!A:A,A92)</f>
        <v>20</v>
      </c>
      <c r="D92" s="148" t="str">
        <f>INDEX(交易历史!C:C,MATCH(A92,交易历史!A:A,0))</f>
        <v>【G2】G2‭</v>
      </c>
      <c r="E92" s="302" t="str">
        <f t="shared" si="3"/>
        <v>球员已拍定</v>
      </c>
      <c r="F92" s="303"/>
    </row>
    <row r="93" ht="45" customHeight="1" spans="1:6">
      <c r="A93" s="148" t="s">
        <v>161</v>
      </c>
      <c r="B93" s="148" t="s">
        <v>162</v>
      </c>
      <c r="C93" s="148">
        <f>_xlfn.MAXIFS(交易历史!B:B,交易历史!A:A,A93)</f>
        <v>100</v>
      </c>
      <c r="D93" s="148" t="str">
        <f>INDEX(交易历史!C:C,MATCH(A93,交易历史!A:A,0))</f>
        <v>【OldH】老H犟嘴</v>
      </c>
      <c r="E93" s="302" t="str">
        <f t="shared" si="3"/>
        <v>球员已拍定</v>
      </c>
      <c r="F93" s="303"/>
    </row>
    <row r="94" ht="45" customHeight="1" spans="1:6">
      <c r="A94" s="148" t="s">
        <v>163</v>
      </c>
      <c r="B94" s="148" t="s">
        <v>164</v>
      </c>
      <c r="C94" s="148">
        <f>_xlfn.MAXIFS(交易历史!B:B,交易历史!A:A,A94)</f>
        <v>0</v>
      </c>
      <c r="D94" s="148">
        <f>INDEX(交易历史!C:C,MATCH(A94,交易历史!A:A,0))</f>
        <v>0</v>
      </c>
      <c r="E94" s="261"/>
      <c r="F94" s="303"/>
    </row>
    <row r="95" ht="45" customHeight="1" spans="1:6">
      <c r="A95" s="148" t="s">
        <v>165</v>
      </c>
      <c r="B95" s="148" t="s">
        <v>165</v>
      </c>
      <c r="C95" s="148">
        <f>_xlfn.MAXIFS(交易历史!B:B,交易历史!A:A,A95)</f>
        <v>0</v>
      </c>
      <c r="D95" s="148">
        <f>INDEX(交易历史!C:C,MATCH(A95,交易历史!A:A,0))</f>
        <v>0</v>
      </c>
      <c r="E95" s="261"/>
      <c r="F95" s="303"/>
    </row>
    <row r="96" ht="45" customHeight="1" spans="1:6">
      <c r="A96" s="148" t="s">
        <v>166</v>
      </c>
      <c r="B96" s="148" t="s">
        <v>167</v>
      </c>
      <c r="C96" s="148">
        <f>_xlfn.MAXIFS(交易历史!B:B,交易历史!A:A,A96)</f>
        <v>0</v>
      </c>
      <c r="D96" s="148">
        <f>INDEX(交易历史!C:C,MATCH(A96,交易历史!A:A,0))</f>
        <v>0</v>
      </c>
      <c r="E96" s="261"/>
      <c r="F96" s="303"/>
    </row>
    <row r="97" ht="45" customHeight="1" spans="1:6">
      <c r="A97" s="148" t="s">
        <v>168</v>
      </c>
      <c r="B97" s="148" t="s">
        <v>168</v>
      </c>
      <c r="C97" s="148">
        <f>_xlfn.MAXIFS(交易历史!B:B,交易历史!A:A,A97)</f>
        <v>0</v>
      </c>
      <c r="D97" s="148">
        <f>INDEX(交易历史!C:C,MATCH(A97,交易历史!A:A,0))</f>
        <v>0</v>
      </c>
      <c r="E97" s="261"/>
      <c r="F97" s="303"/>
    </row>
    <row r="98" ht="45" customHeight="1" spans="1:6">
      <c r="A98" s="148" t="s">
        <v>169</v>
      </c>
      <c r="B98" s="148" t="s">
        <v>170</v>
      </c>
      <c r="C98" s="148">
        <f>_xlfn.MAXIFS(交易历史!B:B,交易历史!A:A,A98)</f>
        <v>0</v>
      </c>
      <c r="D98" s="148">
        <f>INDEX(交易历史!C:C,MATCH(A98,交易历史!A:A,0))</f>
        <v>0</v>
      </c>
      <c r="E98" s="261"/>
      <c r="F98" s="303"/>
    </row>
    <row r="99" ht="45" customHeight="1" spans="1:6">
      <c r="A99" s="148" t="s">
        <v>171</v>
      </c>
      <c r="B99" s="148" t="s">
        <v>172</v>
      </c>
      <c r="C99" s="148">
        <f>_xlfn.MAXIFS(交易历史!B:B,交易历史!A:A,A99)</f>
        <v>0</v>
      </c>
      <c r="D99" s="148">
        <f>INDEX(交易历史!C:C,MATCH(A99,交易历史!A:A,0))</f>
        <v>0</v>
      </c>
      <c r="E99" s="261"/>
      <c r="F99" s="303"/>
    </row>
    <row r="100" ht="45" customHeight="1" spans="1:6">
      <c r="A100" s="148" t="s">
        <v>173</v>
      </c>
      <c r="B100" s="148" t="s">
        <v>173</v>
      </c>
      <c r="C100" s="148">
        <f>_xlfn.MAXIFS(交易历史!B:B,交易历史!A:A,A100)</f>
        <v>0</v>
      </c>
      <c r="D100" s="148">
        <f>INDEX(交易历史!C:C,MATCH(A100,交易历史!A:A,0))</f>
        <v>0</v>
      </c>
      <c r="E100" s="261"/>
      <c r="F100" s="303"/>
    </row>
    <row r="101" ht="45" customHeight="1" spans="1:6">
      <c r="A101" s="148" t="s">
        <v>174</v>
      </c>
      <c r="B101" s="148" t="s">
        <v>175</v>
      </c>
      <c r="C101" s="148">
        <f>_xlfn.MAXIFS(交易历史!B:B,交易历史!A:A,A101)</f>
        <v>0</v>
      </c>
      <c r="D101" s="148">
        <f>INDEX(交易历史!C:C,MATCH(A101,交易历史!A:A,0))</f>
        <v>0</v>
      </c>
      <c r="E101" s="261"/>
      <c r="F101" s="303"/>
    </row>
    <row r="102" ht="45" customHeight="1" spans="1:6">
      <c r="A102" s="148" t="s">
        <v>176</v>
      </c>
      <c r="B102" s="148" t="s">
        <v>177</v>
      </c>
      <c r="C102" s="148">
        <f>_xlfn.MAXIFS(交易历史!B:B,交易历史!A:A,A102)</f>
        <v>0</v>
      </c>
      <c r="D102" s="148">
        <f>INDEX(交易历史!C:C,MATCH(A102,交易历史!A:A,0))</f>
        <v>0</v>
      </c>
      <c r="E102" s="261"/>
      <c r="F102" s="303"/>
    </row>
    <row r="103" ht="45" customHeight="1" spans="1:6">
      <c r="A103" s="148" t="s">
        <v>178</v>
      </c>
      <c r="B103" s="148" t="s">
        <v>179</v>
      </c>
      <c r="C103" s="148">
        <f>_xlfn.MAXIFS(交易历史!B:B,交易历史!A:A,A103)</f>
        <v>0</v>
      </c>
      <c r="D103" s="148">
        <f>INDEX(交易历史!C:C,MATCH(A103,交易历史!A:A,0))</f>
        <v>0</v>
      </c>
      <c r="E103" s="261"/>
      <c r="F103" s="303"/>
    </row>
    <row r="104" ht="45" customHeight="1" spans="1:6">
      <c r="A104" s="148" t="s">
        <v>180</v>
      </c>
      <c r="B104" s="148" t="s">
        <v>181</v>
      </c>
      <c r="C104" s="148">
        <f>_xlfn.MAXIFS(交易历史!B:B,交易历史!A:A,A104)</f>
        <v>0</v>
      </c>
      <c r="D104" s="148">
        <f>INDEX(交易历史!C:C,MATCH(A104,交易历史!A:A,0))</f>
        <v>0</v>
      </c>
      <c r="E104" s="261"/>
      <c r="F104" s="303"/>
    </row>
    <row r="105" ht="45" customHeight="1" spans="1:6">
      <c r="A105" s="148" t="s">
        <v>182</v>
      </c>
      <c r="B105" s="148" t="s">
        <v>183</v>
      </c>
      <c r="C105" s="148">
        <f>_xlfn.MAXIFS(交易历史!B:B,交易历史!A:A,A105)</f>
        <v>0</v>
      </c>
      <c r="D105" s="148">
        <f>INDEX(交易历史!C:C,MATCH(A105,交易历史!A:A,0))</f>
        <v>0</v>
      </c>
      <c r="E105" s="261"/>
      <c r="F105" s="303"/>
    </row>
    <row r="106" ht="45" customHeight="1" spans="1:6">
      <c r="A106" s="148" t="s">
        <v>184</v>
      </c>
      <c r="B106" s="148" t="s">
        <v>185</v>
      </c>
      <c r="C106" s="148">
        <f>_xlfn.MAXIFS(交易历史!B:B,交易历史!A:A,A106)</f>
        <v>0</v>
      </c>
      <c r="D106" s="148">
        <f>INDEX(交易历史!C:C,MATCH(A106,交易历史!A:A,0))</f>
        <v>0</v>
      </c>
      <c r="E106" s="261"/>
      <c r="F106" s="303"/>
    </row>
    <row r="107" ht="45" customHeight="1" spans="1:6">
      <c r="A107" s="148" t="s">
        <v>186</v>
      </c>
      <c r="B107" s="148" t="s">
        <v>187</v>
      </c>
      <c r="C107" s="148">
        <f>_xlfn.MAXIFS(交易历史!B:B,交易历史!A:A,A107)</f>
        <v>0</v>
      </c>
      <c r="D107" s="148">
        <f>INDEX(交易历史!C:C,MATCH(A107,交易历史!A:A,0))</f>
        <v>0</v>
      </c>
      <c r="E107" s="261"/>
      <c r="F107" s="303"/>
    </row>
    <row r="108" ht="45" customHeight="1" spans="1:6">
      <c r="A108" s="148" t="s">
        <v>188</v>
      </c>
      <c r="B108" s="148" t="s">
        <v>189</v>
      </c>
      <c r="C108" s="148">
        <f>_xlfn.MAXIFS(交易历史!B:B,交易历史!A:A,A108)</f>
        <v>0</v>
      </c>
      <c r="D108" s="148">
        <f>INDEX(交易历史!C:C,MATCH(A108,交易历史!A:A,0))</f>
        <v>0</v>
      </c>
      <c r="E108" s="261"/>
      <c r="F108" s="303"/>
    </row>
    <row r="109" ht="45" customHeight="1" spans="1:6">
      <c r="A109" s="148" t="s">
        <v>190</v>
      </c>
      <c r="B109" s="148" t="s">
        <v>190</v>
      </c>
      <c r="C109" s="148">
        <f>_xlfn.MAXIFS(交易历史!B:B,交易历史!A:A,A109)</f>
        <v>0</v>
      </c>
      <c r="D109" s="148">
        <f>INDEX(交易历史!C:C,MATCH(A109,交易历史!A:A,0))</f>
        <v>0</v>
      </c>
      <c r="E109" s="261"/>
      <c r="F109" s="303"/>
    </row>
    <row r="110" ht="45" customHeight="1" spans="1:6">
      <c r="A110" s="148" t="s">
        <v>191</v>
      </c>
      <c r="B110" s="148" t="s">
        <v>192</v>
      </c>
      <c r="C110" s="148">
        <f>_xlfn.MAXIFS(交易历史!B:B,交易历史!A:A,A110)</f>
        <v>0</v>
      </c>
      <c r="D110" s="148">
        <f>INDEX(交易历史!C:C,MATCH(A110,交易历史!A:A,0))</f>
        <v>0</v>
      </c>
      <c r="E110" s="261"/>
      <c r="F110" s="303"/>
    </row>
    <row r="111" ht="45" customHeight="1" spans="1:6">
      <c r="A111" s="148" t="s">
        <v>193</v>
      </c>
      <c r="B111" s="148" t="s">
        <v>194</v>
      </c>
      <c r="C111" s="148">
        <f>_xlfn.MAXIFS(交易历史!B:B,交易历史!A:A,A111)</f>
        <v>0</v>
      </c>
      <c r="D111" s="148">
        <f>INDEX(交易历史!C:C,MATCH(A111,交易历史!A:A,0))</f>
        <v>0</v>
      </c>
      <c r="E111" s="261"/>
      <c r="F111" s="303"/>
    </row>
    <row r="112" ht="45" customHeight="1" spans="1:6">
      <c r="A112" s="148" t="s">
        <v>195</v>
      </c>
      <c r="B112" s="148" t="s">
        <v>196</v>
      </c>
      <c r="C112" s="148">
        <f>_xlfn.MAXIFS(交易历史!B:B,交易历史!A:A,A112)</f>
        <v>0</v>
      </c>
      <c r="D112" s="148">
        <f>INDEX(交易历史!C:C,MATCH(A112,交易历史!A:A,0))</f>
        <v>0</v>
      </c>
      <c r="E112" s="261"/>
      <c r="F112" s="303"/>
    </row>
    <row r="113" ht="45" customHeight="1" spans="1:6">
      <c r="A113" s="148" t="s">
        <v>197</v>
      </c>
      <c r="B113" s="148" t="s">
        <v>198</v>
      </c>
      <c r="C113" s="148">
        <f>_xlfn.MAXIFS(交易历史!B:B,交易历史!A:A,A113)</f>
        <v>0</v>
      </c>
      <c r="D113" s="148">
        <f>INDEX(交易历史!C:C,MATCH(A113,交易历史!A:A,0))</f>
        <v>0</v>
      </c>
      <c r="E113" s="261"/>
      <c r="F113" s="303"/>
    </row>
    <row r="114" ht="45" customHeight="1" spans="1:6">
      <c r="A114" s="148" t="s">
        <v>199</v>
      </c>
      <c r="B114" s="148" t="s">
        <v>200</v>
      </c>
      <c r="C114" s="148">
        <f>_xlfn.MAXIFS(交易历史!B:B,交易历史!A:A,A114)</f>
        <v>0</v>
      </c>
      <c r="D114" s="148">
        <f>INDEX(交易历史!C:C,MATCH(A114,交易历史!A:A,0))</f>
        <v>0</v>
      </c>
      <c r="E114" s="261"/>
      <c r="F114" s="303"/>
    </row>
    <row r="115" ht="45" customHeight="1" spans="1:6">
      <c r="A115" s="148" t="s">
        <v>201</v>
      </c>
      <c r="B115" s="148" t="s">
        <v>202</v>
      </c>
      <c r="C115" s="148">
        <f>_xlfn.MAXIFS(交易历史!B:B,交易历史!A:A,A115)</f>
        <v>0</v>
      </c>
      <c r="D115" s="148">
        <f>INDEX(交易历史!C:C,MATCH(A115,交易历史!A:A,0))</f>
        <v>0</v>
      </c>
      <c r="E115" s="261"/>
      <c r="F115" s="303"/>
    </row>
    <row r="116" ht="45" customHeight="1" spans="1:6">
      <c r="A116" s="148" t="s">
        <v>203</v>
      </c>
      <c r="B116" s="148" t="s">
        <v>204</v>
      </c>
      <c r="C116" s="148">
        <f>_xlfn.MAXIFS(交易历史!B:B,交易历史!A:A,A116)</f>
        <v>0</v>
      </c>
      <c r="D116" s="148">
        <f>INDEX(交易历史!C:C,MATCH(A116,交易历史!A:A,0))</f>
        <v>0</v>
      </c>
      <c r="E116" s="261"/>
      <c r="F116" s="303"/>
    </row>
    <row r="117" ht="45" customHeight="1" spans="1:6">
      <c r="A117" s="148" t="s">
        <v>205</v>
      </c>
      <c r="B117" s="148" t="s">
        <v>206</v>
      </c>
      <c r="C117" s="148">
        <f>_xlfn.MAXIFS(交易历史!B:B,交易历史!A:A,A117)</f>
        <v>0</v>
      </c>
      <c r="D117" s="148">
        <f>INDEX(交易历史!C:C,MATCH(A117,交易历史!A:A,0))</f>
        <v>0</v>
      </c>
      <c r="E117" s="261"/>
      <c r="F117" s="303"/>
    </row>
    <row r="118" ht="45" customHeight="1" spans="1:6">
      <c r="A118" s="148" t="s">
        <v>207</v>
      </c>
      <c r="B118" s="148" t="s">
        <v>207</v>
      </c>
      <c r="C118" s="148">
        <f>_xlfn.MAXIFS(交易历史!B:B,交易历史!A:A,A118)</f>
        <v>0</v>
      </c>
      <c r="D118" s="148">
        <f>INDEX(交易历史!C:C,MATCH(A118,交易历史!A:A,0))</f>
        <v>0</v>
      </c>
      <c r="E118" s="261"/>
      <c r="F118" s="303"/>
    </row>
    <row r="119" ht="45" customHeight="1" spans="1:6">
      <c r="A119" s="148" t="s">
        <v>208</v>
      </c>
      <c r="B119" s="148" t="s">
        <v>208</v>
      </c>
      <c r="C119" s="148">
        <f>_xlfn.MAXIFS(交易历史!B:B,交易历史!A:A,A119)</f>
        <v>0</v>
      </c>
      <c r="D119" s="148">
        <f>INDEX(交易历史!C:C,MATCH(A119,交易历史!A:A,0))</f>
        <v>0</v>
      </c>
      <c r="E119" s="261"/>
      <c r="F119" s="303"/>
    </row>
    <row r="120" ht="45" customHeight="1" spans="1:6">
      <c r="A120" s="148" t="s">
        <v>209</v>
      </c>
      <c r="B120" s="148" t="s">
        <v>209</v>
      </c>
      <c r="C120" s="148">
        <f>_xlfn.MAXIFS(交易历史!B:B,交易历史!A:A,A120)</f>
        <v>0</v>
      </c>
      <c r="D120" s="148">
        <f>INDEX(交易历史!C:C,MATCH(A120,交易历史!A:A,0))</f>
        <v>0</v>
      </c>
      <c r="E120" s="261"/>
      <c r="F120" s="303"/>
    </row>
    <row r="121" ht="45" customHeight="1" spans="1:6">
      <c r="A121" s="148" t="s">
        <v>210</v>
      </c>
      <c r="B121" s="148" t="s">
        <v>211</v>
      </c>
      <c r="C121" s="148">
        <f>_xlfn.MAXIFS(交易历史!B:B,交易历史!A:A,A121)</f>
        <v>0</v>
      </c>
      <c r="D121" s="148">
        <f>INDEX(交易历史!C:C,MATCH(A121,交易历史!A:A,0))</f>
        <v>0</v>
      </c>
      <c r="E121" s="261"/>
      <c r="F121" s="303"/>
    </row>
    <row r="122" ht="45" customHeight="1" spans="1:6">
      <c r="A122" s="148" t="s">
        <v>212</v>
      </c>
      <c r="B122" s="148" t="s">
        <v>212</v>
      </c>
      <c r="C122" s="148">
        <f>_xlfn.MAXIFS(交易历史!B:B,交易历史!A:A,A122)</f>
        <v>0</v>
      </c>
      <c r="D122" s="148">
        <f>INDEX(交易历史!C:C,MATCH(A122,交易历史!A:A,0))</f>
        <v>0</v>
      </c>
      <c r="E122" s="261"/>
      <c r="F122" s="303"/>
    </row>
    <row r="123" ht="45" customHeight="1" spans="1:6">
      <c r="A123" s="148" t="s">
        <v>213</v>
      </c>
      <c r="B123" s="148" t="s">
        <v>213</v>
      </c>
      <c r="C123" s="148">
        <f>_xlfn.MAXIFS(交易历史!B:B,交易历史!A:A,A123)</f>
        <v>0</v>
      </c>
      <c r="D123" s="148">
        <f>INDEX(交易历史!C:C,MATCH(A123,交易历史!A:A,0))</f>
        <v>0</v>
      </c>
      <c r="E123" s="261"/>
      <c r="F123" s="303"/>
    </row>
    <row r="124" ht="45" customHeight="1" spans="1:6">
      <c r="A124" s="148" t="s">
        <v>214</v>
      </c>
      <c r="B124" s="148" t="s">
        <v>215</v>
      </c>
      <c r="C124" s="148">
        <f>_xlfn.MAXIFS(交易历史!B:B,交易历史!A:A,A124)</f>
        <v>0</v>
      </c>
      <c r="D124" s="148">
        <f>INDEX(交易历史!C:C,MATCH(A124,交易历史!A:A,0))</f>
        <v>0</v>
      </c>
      <c r="E124" s="261"/>
      <c r="F124" s="303"/>
    </row>
    <row r="125" ht="45" customHeight="1" spans="1:6">
      <c r="A125" s="148" t="s">
        <v>216</v>
      </c>
      <c r="B125" s="148" t="s">
        <v>217</v>
      </c>
      <c r="C125" s="148">
        <f>_xlfn.MAXIFS(交易历史!B:B,交易历史!A:A,A125)</f>
        <v>0</v>
      </c>
      <c r="D125" s="148">
        <f>INDEX(交易历史!C:C,MATCH(A125,交易历史!A:A,0))</f>
        <v>0</v>
      </c>
      <c r="E125" s="261"/>
      <c r="F125" s="303"/>
    </row>
    <row r="126" ht="45" customHeight="1" spans="1:6">
      <c r="A126" s="261"/>
      <c r="B126" s="261"/>
      <c r="C126" s="148">
        <f>_xlfn.MAXIFS(交易历史!B:B,交易历史!A:A,A126)</f>
        <v>0</v>
      </c>
      <c r="D126" s="148" t="e">
        <f>INDEX(交易历史!C:C,MATCH(A126,交易历史!A:A,0))</f>
        <v>#N/A</v>
      </c>
      <c r="E126" s="261"/>
      <c r="F126" s="303"/>
    </row>
    <row r="127" ht="45" customHeight="1" spans="1:6">
      <c r="A127" s="261"/>
      <c r="B127" s="261"/>
      <c r="C127" s="148">
        <f>_xlfn.MAXIFS(交易历史!B:B,交易历史!A:A,A127)</f>
        <v>0</v>
      </c>
      <c r="D127" s="148" t="e">
        <f>INDEX(交易历史!C:C,MATCH(A127,交易历史!A:A,0))</f>
        <v>#N/A</v>
      </c>
      <c r="E127" s="261"/>
      <c r="F127" s="303"/>
    </row>
    <row r="128" ht="45" customHeight="1" spans="1:6">
      <c r="A128" s="302"/>
      <c r="B128" s="261"/>
      <c r="C128" s="148">
        <f>_xlfn.MAXIFS(交易历史!B:B,交易历史!A:A,A128)</f>
        <v>0</v>
      </c>
      <c r="D128" s="148" t="e">
        <f>INDEX(交易历史!C:C,MATCH(A128,交易历史!A:A,0))</f>
        <v>#N/A</v>
      </c>
      <c r="E128" s="261"/>
      <c r="F128" s="303"/>
    </row>
    <row r="129" ht="45" customHeight="1" spans="1:6">
      <c r="A129" s="261"/>
      <c r="B129" s="261"/>
      <c r="C129" s="148">
        <f>_xlfn.MAXIFS(交易历史!B:B,交易历史!A:A,A129)</f>
        <v>0</v>
      </c>
      <c r="D129" s="148" t="e">
        <f>INDEX(交易历史!C:C,MATCH(A129,交易历史!A:A,0))</f>
        <v>#N/A</v>
      </c>
      <c r="E129" s="261"/>
      <c r="F129" s="303"/>
    </row>
    <row r="130" ht="45" customHeight="1" spans="1:6">
      <c r="A130" s="261"/>
      <c r="B130" s="261"/>
      <c r="C130" s="148">
        <f>_xlfn.MAXIFS(交易历史!B:B,交易历史!A:A,A130)</f>
        <v>0</v>
      </c>
      <c r="D130" s="148" t="e">
        <f>INDEX(交易历史!C:C,MATCH(A130,交易历史!A:A,0))</f>
        <v>#N/A</v>
      </c>
      <c r="E130" s="261"/>
      <c r="F130" s="303"/>
    </row>
    <row r="131" ht="45" customHeight="1" spans="1:6">
      <c r="A131" s="261"/>
      <c r="B131" s="261"/>
      <c r="C131" s="148">
        <f>_xlfn.MAXIFS(交易历史!B:B,交易历史!A:A,A131)</f>
        <v>0</v>
      </c>
      <c r="D131" s="148" t="e">
        <f>INDEX(交易历史!C:C,MATCH(A131,交易历史!A:A,0))</f>
        <v>#N/A</v>
      </c>
      <c r="E131" s="261"/>
      <c r="F131" s="303"/>
    </row>
    <row r="132" ht="45" customHeight="1" spans="1:6">
      <c r="A132" s="261"/>
      <c r="B132" s="261"/>
      <c r="C132" s="148">
        <f>_xlfn.MAXIFS(交易历史!B:B,交易历史!A:A,A132)</f>
        <v>0</v>
      </c>
      <c r="D132" s="148" t="e">
        <f>INDEX(交易历史!C:C,MATCH(A132,交易历史!A:A,0))</f>
        <v>#N/A</v>
      </c>
      <c r="E132" s="261"/>
      <c r="F132" s="303"/>
    </row>
    <row r="133" ht="45" customHeight="1" spans="1:6">
      <c r="A133" s="261"/>
      <c r="B133" s="261"/>
      <c r="C133" s="148">
        <f>_xlfn.MAXIFS(交易历史!B:B,交易历史!A:A,A133)</f>
        <v>0</v>
      </c>
      <c r="D133" s="148" t="e">
        <f>INDEX(交易历史!C:C,MATCH(A133,交易历史!A:A,0))</f>
        <v>#N/A</v>
      </c>
      <c r="E133" s="261"/>
      <c r="F133" s="303"/>
    </row>
    <row r="134" ht="45" customHeight="1" spans="1:6">
      <c r="A134" s="261"/>
      <c r="B134" s="261"/>
      <c r="C134" s="148">
        <f>_xlfn.MAXIFS(交易历史!B:B,交易历史!A:A,A134)</f>
        <v>0</v>
      </c>
      <c r="D134" s="148" t="e">
        <f>INDEX(交易历史!C:C,MATCH(A134,交易历史!A:A,0))</f>
        <v>#N/A</v>
      </c>
      <c r="E134" s="261"/>
      <c r="F134" s="303"/>
    </row>
    <row r="135" ht="45" customHeight="1" spans="1:6">
      <c r="A135" s="261"/>
      <c r="B135" s="261"/>
      <c r="C135" s="148">
        <f>_xlfn.MAXIFS(交易历史!B:B,交易历史!A:A,A135)</f>
        <v>0</v>
      </c>
      <c r="D135" s="148" t="e">
        <f>INDEX(交易历史!C:C,MATCH(A135,交易历史!A:A,0))</f>
        <v>#N/A</v>
      </c>
      <c r="E135" s="261"/>
      <c r="F135" s="303"/>
    </row>
    <row r="136" ht="45" customHeight="1" spans="1:6">
      <c r="A136" s="261"/>
      <c r="B136" s="261"/>
      <c r="C136" s="148">
        <f>_xlfn.MAXIFS(交易历史!B:B,交易历史!A:A,A136)</f>
        <v>0</v>
      </c>
      <c r="D136" s="148" t="e">
        <f>INDEX(交易历史!C:C,MATCH(A136,交易历史!A:A,0))</f>
        <v>#N/A</v>
      </c>
      <c r="E136" s="261"/>
      <c r="F136" s="303"/>
    </row>
    <row r="137" ht="45" customHeight="1" spans="1:6">
      <c r="A137" s="261"/>
      <c r="B137" s="261"/>
      <c r="C137" s="148">
        <f>_xlfn.MAXIFS(交易历史!B:B,交易历史!A:A,A137)</f>
        <v>0</v>
      </c>
      <c r="D137" s="148" t="e">
        <f>INDEX(交易历史!C:C,MATCH(A137,交易历史!A:A,0))</f>
        <v>#N/A</v>
      </c>
      <c r="E137" s="261"/>
      <c r="F137" s="303"/>
    </row>
    <row r="138" ht="45" customHeight="1" spans="1:6">
      <c r="A138" s="261"/>
      <c r="B138" s="261"/>
      <c r="C138" s="148">
        <f>_xlfn.MAXIFS(交易历史!B:B,交易历史!A:A,A138)</f>
        <v>0</v>
      </c>
      <c r="D138" s="148" t="e">
        <f>INDEX(交易历史!C:C,MATCH(A138,交易历史!A:A,0))</f>
        <v>#N/A</v>
      </c>
      <c r="E138" s="261"/>
      <c r="F138" s="303"/>
    </row>
    <row r="139" ht="45" customHeight="1" spans="1:6">
      <c r="A139" s="261"/>
      <c r="B139" s="261"/>
      <c r="C139" s="148">
        <f>_xlfn.MAXIFS(交易历史!B:B,交易历史!A:A,A139)</f>
        <v>0</v>
      </c>
      <c r="D139" s="148" t="e">
        <f>INDEX(交易历史!C:C,MATCH(A139,交易历史!A:A,0))</f>
        <v>#N/A</v>
      </c>
      <c r="E139" s="261"/>
      <c r="F139" s="303"/>
    </row>
    <row r="140" ht="45" customHeight="1" spans="1:6">
      <c r="A140" s="261"/>
      <c r="B140" s="261"/>
      <c r="C140" s="148">
        <f>_xlfn.MAXIFS(交易历史!B:B,交易历史!A:A,A140)</f>
        <v>0</v>
      </c>
      <c r="D140" s="148" t="e">
        <f>INDEX(交易历史!C:C,MATCH(A140,交易历史!A:A,0))</f>
        <v>#N/A</v>
      </c>
      <c r="E140" s="261"/>
      <c r="F140" s="303"/>
    </row>
    <row r="141" ht="45" customHeight="1" spans="1:6">
      <c r="A141" s="261"/>
      <c r="B141" s="261"/>
      <c r="C141" s="148">
        <f>_xlfn.MAXIFS(交易历史!B:B,交易历史!A:A,A141)</f>
        <v>0</v>
      </c>
      <c r="D141" s="148" t="e">
        <f>INDEX(交易历史!C:C,MATCH(A141,交易历史!A:A,0))</f>
        <v>#N/A</v>
      </c>
      <c r="E141" s="261"/>
      <c r="F141" s="303"/>
    </row>
    <row r="142" ht="45" customHeight="1" spans="1:6">
      <c r="A142" s="261"/>
      <c r="B142" s="261"/>
      <c r="C142" s="148">
        <f>_xlfn.MAXIFS(交易历史!B:B,交易历史!A:A,A142)</f>
        <v>0</v>
      </c>
      <c r="D142" s="148" t="e">
        <f>INDEX(交易历史!C:C,MATCH(A142,交易历史!A:A,0))</f>
        <v>#N/A</v>
      </c>
      <c r="E142" s="261"/>
      <c r="F142" s="303"/>
    </row>
    <row r="143" ht="45" customHeight="1" spans="1:6">
      <c r="A143" s="261"/>
      <c r="B143" s="261"/>
      <c r="C143" s="148">
        <f>_xlfn.MAXIFS(交易历史!B:B,交易历史!A:A,A143)</f>
        <v>0</v>
      </c>
      <c r="D143" s="148" t="e">
        <f>INDEX(交易历史!C:C,MATCH(A143,交易历史!A:A,0))</f>
        <v>#N/A</v>
      </c>
      <c r="E143" s="261"/>
      <c r="F143" s="303"/>
    </row>
    <row r="144" ht="45" customHeight="1" spans="1:6">
      <c r="A144" s="261"/>
      <c r="B144" s="261"/>
      <c r="C144" s="148">
        <f>_xlfn.MAXIFS(交易历史!B:B,交易历史!A:A,A144)</f>
        <v>0</v>
      </c>
      <c r="D144" s="148" t="e">
        <f>INDEX(交易历史!C:C,MATCH(A144,交易历史!A:A,0))</f>
        <v>#N/A</v>
      </c>
      <c r="E144" s="261"/>
      <c r="F144" s="303"/>
    </row>
    <row r="145" ht="45" customHeight="1" spans="1:6">
      <c r="A145" s="261"/>
      <c r="B145" s="261"/>
      <c r="C145" s="148"/>
      <c r="D145" s="304"/>
      <c r="E145" s="261"/>
      <c r="F145" s="261"/>
    </row>
    <row r="146" ht="45" customHeight="1" spans="1:6">
      <c r="A146" s="261"/>
      <c r="B146" s="261"/>
      <c r="C146" s="148"/>
      <c r="D146" s="304"/>
      <c r="E146" s="261"/>
      <c r="F146" s="261"/>
    </row>
    <row r="147" ht="45" customHeight="1" spans="1:6">
      <c r="A147" s="261"/>
      <c r="B147" s="261"/>
      <c r="C147" s="148"/>
      <c r="D147" s="304"/>
      <c r="E147" s="261"/>
      <c r="F147" s="261"/>
    </row>
    <row r="148" ht="45" customHeight="1" spans="1:6">
      <c r="A148" s="261"/>
      <c r="B148" s="261"/>
      <c r="C148" s="148"/>
      <c r="D148" s="148"/>
      <c r="E148" s="261"/>
      <c r="F148" s="261"/>
    </row>
    <row r="149" ht="45" customHeight="1" spans="1:6">
      <c r="A149" s="261"/>
      <c r="B149" s="261"/>
      <c r="C149" s="148"/>
      <c r="D149" s="148"/>
      <c r="E149" s="261"/>
      <c r="F149" s="261"/>
    </row>
    <row r="150" ht="45" customHeight="1" spans="1:6">
      <c r="A150" s="261"/>
      <c r="B150" s="261"/>
      <c r="C150" s="148"/>
      <c r="D150" s="148"/>
      <c r="E150" s="261"/>
      <c r="F150" s="261"/>
    </row>
    <row r="151" ht="45" customHeight="1" spans="1:6">
      <c r="A151" s="261"/>
      <c r="B151" s="261"/>
      <c r="C151" s="148"/>
      <c r="D151" s="148"/>
      <c r="E151" s="261"/>
      <c r="F151" s="261"/>
    </row>
    <row r="152" ht="45" customHeight="1" spans="1:6">
      <c r="A152" s="261"/>
      <c r="B152" s="261"/>
      <c r="C152" s="148"/>
      <c r="D152" s="148"/>
      <c r="E152" s="261"/>
      <c r="F152" s="261"/>
    </row>
    <row r="153" ht="45" customHeight="1" spans="1:6">
      <c r="A153" s="306"/>
      <c r="B153" s="261"/>
      <c r="C153" s="148"/>
      <c r="D153" s="148"/>
      <c r="E153" s="261"/>
      <c r="F153" s="261"/>
    </row>
    <row r="154" ht="45" customHeight="1" spans="1:6">
      <c r="A154" s="261"/>
      <c r="B154" s="261"/>
      <c r="C154" s="148"/>
      <c r="D154" s="148"/>
      <c r="E154" s="261"/>
      <c r="F154" s="261"/>
    </row>
    <row r="155" ht="45" customHeight="1" spans="1:6">
      <c r="A155" s="261"/>
      <c r="B155" s="261"/>
      <c r="C155" s="148"/>
      <c r="D155" s="148"/>
      <c r="E155" s="261"/>
      <c r="F155" s="261"/>
    </row>
    <row r="156" ht="45" customHeight="1" spans="1:6">
      <c r="A156" s="261"/>
      <c r="B156" s="261"/>
      <c r="C156" s="148"/>
      <c r="D156" s="148"/>
      <c r="E156" s="261"/>
      <c r="F156" s="261"/>
    </row>
    <row r="157" ht="45" customHeight="1" spans="1:6">
      <c r="A157" s="261"/>
      <c r="B157" s="261"/>
      <c r="C157" s="148"/>
      <c r="D157" s="148"/>
      <c r="E157" s="261"/>
      <c r="F157" s="261"/>
    </row>
    <row r="158" ht="45" customHeight="1" spans="1:6">
      <c r="A158" s="261"/>
      <c r="B158" s="261"/>
      <c r="C158" s="148"/>
      <c r="D158" s="148"/>
      <c r="E158" s="261"/>
      <c r="F158" s="261"/>
    </row>
    <row r="159" ht="45" customHeight="1" spans="1:6">
      <c r="A159" s="261"/>
      <c r="B159" s="261"/>
      <c r="C159" s="148"/>
      <c r="D159" s="148"/>
      <c r="E159" s="261"/>
      <c r="F159" s="261"/>
    </row>
    <row r="160" ht="45" customHeight="1" spans="1:6">
      <c r="A160" s="261"/>
      <c r="B160" s="261"/>
      <c r="C160" s="148"/>
      <c r="D160" s="148"/>
      <c r="E160" s="261"/>
      <c r="F160" s="261"/>
    </row>
    <row r="161" ht="45" customHeight="1" spans="1:6">
      <c r="A161" s="261"/>
      <c r="B161" s="261"/>
      <c r="C161" s="148"/>
      <c r="D161" s="148"/>
      <c r="E161" s="261"/>
      <c r="F161" s="261"/>
    </row>
    <row r="162" ht="45" customHeight="1" spans="1:6">
      <c r="A162" s="261"/>
      <c r="B162" s="261"/>
      <c r="C162" s="148"/>
      <c r="D162" s="148"/>
      <c r="E162" s="261"/>
      <c r="F162" s="261"/>
    </row>
    <row r="163" ht="45" customHeight="1" spans="1:6">
      <c r="A163" s="261"/>
      <c r="B163" s="261"/>
      <c r="C163" s="148"/>
      <c r="D163" s="148"/>
      <c r="E163" s="261"/>
      <c r="F163" s="261"/>
    </row>
    <row r="164" ht="45" customHeight="1" spans="1:6">
      <c r="A164" s="261"/>
      <c r="B164" s="261"/>
      <c r="C164" s="148"/>
      <c r="D164" s="148"/>
      <c r="E164" s="261"/>
      <c r="F164" s="261"/>
    </row>
    <row r="165" ht="45" customHeight="1" spans="1:6">
      <c r="A165" s="261"/>
      <c r="B165" s="261"/>
      <c r="C165" s="148"/>
      <c r="D165" s="148"/>
      <c r="E165" s="261"/>
      <c r="F165" s="261"/>
    </row>
    <row r="166" ht="45" customHeight="1" spans="1:6">
      <c r="A166" s="261"/>
      <c r="B166" s="261"/>
      <c r="C166" s="148">
        <v>1000</v>
      </c>
      <c r="D166" s="148"/>
      <c r="E166" s="261"/>
      <c r="F166" s="261"/>
    </row>
    <row r="167" ht="45" customHeight="1" spans="1:4">
      <c r="A167" s="307"/>
      <c r="C167" s="62"/>
      <c r="D167" s="148"/>
    </row>
    <row r="168" ht="45" customHeight="1" spans="1:4">
      <c r="A168" s="307"/>
      <c r="C168" s="62"/>
      <c r="D168" s="148"/>
    </row>
    <row r="169" ht="45" customHeight="1" spans="1:4">
      <c r="A169" s="308"/>
      <c r="C169" s="62"/>
      <c r="D169" s="148"/>
    </row>
    <row r="170" ht="45" customHeight="1" spans="1:4">
      <c r="A170" s="307"/>
      <c r="C170" s="62"/>
      <c r="D170" s="148"/>
    </row>
    <row r="171" ht="45" customHeight="1" spans="1:4">
      <c r="A171" s="307"/>
      <c r="C171" s="62"/>
      <c r="D171" s="148"/>
    </row>
    <row r="172" ht="45" customHeight="1" spans="1:4">
      <c r="A172" s="307"/>
      <c r="C172" s="62"/>
      <c r="D172" s="148"/>
    </row>
    <row r="173" ht="45" customHeight="1" spans="1:4">
      <c r="A173" s="307"/>
      <c r="C173" s="62"/>
      <c r="D173" s="148"/>
    </row>
    <row r="174" ht="45" customHeight="1" spans="1:4">
      <c r="A174" s="307"/>
      <c r="C174" s="62"/>
      <c r="D174" s="148"/>
    </row>
    <row r="175" ht="45" customHeight="1" spans="1:4">
      <c r="A175" s="307"/>
      <c r="C175" s="62"/>
      <c r="D175" s="148"/>
    </row>
    <row r="176" ht="45" customHeight="1" spans="1:4">
      <c r="A176" s="307"/>
      <c r="C176" s="62"/>
      <c r="D176" s="148"/>
    </row>
    <row r="177" ht="45" customHeight="1" spans="1:3">
      <c r="A177" s="307"/>
      <c r="C177" s="62"/>
    </row>
    <row r="178" ht="45" customHeight="1" spans="3:3">
      <c r="C178" s="62"/>
    </row>
    <row r="179" ht="45" customHeight="1" spans="3:3">
      <c r="C179" s="62"/>
    </row>
    <row r="180" ht="45" customHeight="1" spans="3:3">
      <c r="C180" s="62"/>
    </row>
    <row r="181" ht="45" customHeight="1" spans="3:3">
      <c r="C181" s="62"/>
    </row>
    <row r="182" ht="45" customHeight="1" spans="3:3">
      <c r="C182" s="62"/>
    </row>
    <row r="183" ht="45" customHeight="1" spans="3:3">
      <c r="C183" s="62"/>
    </row>
    <row r="184" ht="45" customHeight="1" spans="3:3">
      <c r="C184" s="62"/>
    </row>
    <row r="185" ht="45" customHeight="1" spans="3:3">
      <c r="C185" s="62"/>
    </row>
    <row r="186" ht="45" customHeight="1" spans="3:3">
      <c r="C186" s="62"/>
    </row>
    <row r="187" ht="45" customHeight="1" spans="3:3">
      <c r="C187" s="62"/>
    </row>
    <row r="188" ht="45" customHeight="1" spans="3:3">
      <c r="C188" s="62"/>
    </row>
    <row r="189" ht="45" customHeight="1" spans="3:3">
      <c r="C189" s="62"/>
    </row>
    <row r="190" ht="45" customHeight="1" spans="3:3">
      <c r="C190" s="62"/>
    </row>
    <row r="191" ht="45" customHeight="1" spans="3:3">
      <c r="C191" s="62"/>
    </row>
    <row r="192" ht="45" customHeight="1" spans="3:3">
      <c r="C192" s="62"/>
    </row>
    <row r="193" ht="45" customHeight="1" spans="3:3">
      <c r="C193" s="62"/>
    </row>
    <row r="194" ht="45" customHeight="1" spans="3:3">
      <c r="C194" s="62"/>
    </row>
    <row r="195" ht="45" customHeight="1" spans="3:3">
      <c r="C195" s="62"/>
    </row>
    <row r="196" ht="45" customHeight="1" spans="3:3">
      <c r="C196" s="62"/>
    </row>
    <row r="197" ht="45" customHeight="1" spans="3:3">
      <c r="C197" s="62"/>
    </row>
    <row r="198" ht="45" customHeight="1" spans="3:3">
      <c r="C198" s="62"/>
    </row>
    <row r="199" ht="45" customHeight="1" spans="3:3">
      <c r="C199" s="62"/>
    </row>
    <row r="200" ht="45" customHeight="1" spans="3:3">
      <c r="C200" s="62"/>
    </row>
    <row r="201" ht="45" customHeight="1" spans="3:3">
      <c r="C201" s="62"/>
    </row>
    <row r="202" ht="45" customHeight="1" spans="3:3">
      <c r="C202" s="62"/>
    </row>
    <row r="203" ht="45" customHeight="1" spans="3:3">
      <c r="C203" s="62"/>
    </row>
    <row r="204" ht="45" customHeight="1" spans="3:3">
      <c r="C204" s="62"/>
    </row>
    <row r="205" ht="45" customHeight="1" spans="3:3">
      <c r="C205" s="62"/>
    </row>
    <row r="206" ht="45" customHeight="1" spans="3:3">
      <c r="C206" s="62"/>
    </row>
    <row r="207" ht="45" customHeight="1" spans="3:3">
      <c r="C207" s="62"/>
    </row>
    <row r="208" ht="45" customHeight="1" spans="3:3">
      <c r="C208" s="62"/>
    </row>
    <row r="209" ht="45" customHeight="1" spans="3:3">
      <c r="C209" s="62"/>
    </row>
    <row r="210" ht="45" customHeight="1" spans="3:3">
      <c r="C210" s="62"/>
    </row>
    <row r="211" ht="45" customHeight="1" spans="3:3">
      <c r="C211" s="62"/>
    </row>
    <row r="212" ht="45" customHeight="1" spans="3:3">
      <c r="C212" s="62"/>
    </row>
    <row r="213" ht="45" customHeight="1" spans="3:3">
      <c r="C213" s="62"/>
    </row>
    <row r="214" ht="45" customHeight="1" spans="3:3">
      <c r="C214" s="62"/>
    </row>
    <row r="215" ht="45" customHeight="1" spans="3:3">
      <c r="C215" s="62"/>
    </row>
    <row r="216" ht="45" customHeight="1" spans="3:3">
      <c r="C216" s="62"/>
    </row>
    <row r="217" ht="45" customHeight="1" spans="3:3">
      <c r="C217" s="62"/>
    </row>
    <row r="218" ht="45" customHeight="1" spans="3:3">
      <c r="C218" s="62"/>
    </row>
    <row r="219" ht="45" customHeight="1" spans="3:3">
      <c r="C219" s="62"/>
    </row>
    <row r="220" ht="45" customHeight="1" spans="3:3">
      <c r="C220" s="62"/>
    </row>
    <row r="221" ht="45" customHeight="1" spans="3:3">
      <c r="C221" s="62"/>
    </row>
    <row r="222" ht="45" customHeight="1" spans="3:3">
      <c r="C222" s="62"/>
    </row>
    <row r="223" ht="45" customHeight="1" spans="3:3">
      <c r="C223" s="62"/>
    </row>
    <row r="224" ht="45" customHeight="1" spans="3:3">
      <c r="C224" s="62"/>
    </row>
    <row r="225" ht="45" customHeight="1" spans="3:3">
      <c r="C225" s="62"/>
    </row>
    <row r="226" ht="45" customHeight="1" spans="3:3">
      <c r="C226" s="62"/>
    </row>
    <row r="227" ht="45" customHeight="1" spans="3:3">
      <c r="C227" s="62"/>
    </row>
    <row r="228" ht="45" customHeight="1" spans="3:3">
      <c r="C228" s="62"/>
    </row>
    <row r="229" ht="45" customHeight="1" spans="3:3">
      <c r="C229" s="62"/>
    </row>
    <row r="230" ht="45" customHeight="1" spans="3:3">
      <c r="C230" s="62"/>
    </row>
    <row r="231" spans="3:3">
      <c r="C231" s="62"/>
    </row>
    <row r="232" spans="3:3">
      <c r="C232" s="62"/>
    </row>
    <row r="233" spans="3:3">
      <c r="C233" s="62"/>
    </row>
    <row r="234" spans="3:3">
      <c r="C234" s="62"/>
    </row>
    <row r="235" spans="3:3">
      <c r="C235" s="62"/>
    </row>
    <row r="236" spans="3:3">
      <c r="C236" s="62"/>
    </row>
    <row r="237" spans="3:3">
      <c r="C237" s="62"/>
    </row>
    <row r="238" spans="3:3">
      <c r="C238" s="62"/>
    </row>
    <row r="239" spans="3:3">
      <c r="C239" s="62"/>
    </row>
    <row r="240" spans="3:3">
      <c r="C240" s="62"/>
    </row>
    <row r="241" spans="3:3">
      <c r="C241" s="62"/>
    </row>
    <row r="242" spans="3:3">
      <c r="C242" s="62"/>
    </row>
    <row r="243" spans="3:3">
      <c r="C243" s="62"/>
    </row>
    <row r="244" spans="3:3">
      <c r="C244" s="62"/>
    </row>
    <row r="245" spans="3:3">
      <c r="C245" s="62"/>
    </row>
    <row r="246" spans="3:3">
      <c r="C246" s="62"/>
    </row>
    <row r="247" spans="3:3">
      <c r="C247" s="62"/>
    </row>
    <row r="248" spans="3:3">
      <c r="C248" s="62"/>
    </row>
    <row r="249" spans="3:3">
      <c r="C249" s="62"/>
    </row>
    <row r="250" spans="3:3">
      <c r="C250" s="62"/>
    </row>
    <row r="251" spans="3:3">
      <c r="C251" s="62"/>
    </row>
    <row r="252" spans="3:3">
      <c r="C252" s="62"/>
    </row>
    <row r="253" spans="3:3">
      <c r="C253" s="62"/>
    </row>
    <row r="254" spans="3:3">
      <c r="C254" s="62"/>
    </row>
    <row r="255" spans="3:3">
      <c r="C255" s="62"/>
    </row>
    <row r="256" spans="3:3">
      <c r="C256" s="62"/>
    </row>
    <row r="257" spans="3:3">
      <c r="C257" s="62"/>
    </row>
    <row r="258" spans="3:3">
      <c r="C258" s="62"/>
    </row>
    <row r="259" spans="3:3">
      <c r="C259" s="62"/>
    </row>
    <row r="260" spans="3:3">
      <c r="C260" s="62"/>
    </row>
    <row r="261" spans="3:3">
      <c r="C261" s="62"/>
    </row>
    <row r="262" spans="3:3">
      <c r="C262" s="62"/>
    </row>
    <row r="263" spans="3:3">
      <c r="C263" s="62"/>
    </row>
    <row r="264" spans="3:3">
      <c r="C264" s="62"/>
    </row>
    <row r="265" spans="3:3">
      <c r="C265" s="62"/>
    </row>
    <row r="266" spans="3:3">
      <c r="C266" s="62"/>
    </row>
    <row r="267" spans="3:3">
      <c r="C267" s="62"/>
    </row>
    <row r="268" spans="3:3">
      <c r="C268" s="62"/>
    </row>
    <row r="269" spans="3:3">
      <c r="C269" s="62"/>
    </row>
    <row r="270" spans="3:3">
      <c r="C270" s="62"/>
    </row>
    <row r="271" spans="3:3">
      <c r="C271" s="62"/>
    </row>
    <row r="272" spans="3:3">
      <c r="C272" s="62"/>
    </row>
    <row r="273" spans="3:3">
      <c r="C273" s="62"/>
    </row>
    <row r="274" spans="3:3">
      <c r="C274" s="62"/>
    </row>
    <row r="275" spans="3:3">
      <c r="C275" s="62"/>
    </row>
    <row r="276" spans="3:3">
      <c r="C276" s="62"/>
    </row>
    <row r="277" spans="3:3">
      <c r="C277" s="62"/>
    </row>
    <row r="278" spans="3:3">
      <c r="C278" s="62"/>
    </row>
    <row r="279" spans="3:3">
      <c r="C279" s="62"/>
    </row>
    <row r="280" spans="3:3">
      <c r="C280" s="62"/>
    </row>
    <row r="281" spans="3:3">
      <c r="C281" s="62"/>
    </row>
    <row r="282" spans="3:3">
      <c r="C282" s="62"/>
    </row>
    <row r="283" spans="3:3">
      <c r="C283" s="62"/>
    </row>
    <row r="284" spans="3:3">
      <c r="C284" s="62"/>
    </row>
    <row r="285" spans="3:3">
      <c r="C285" s="62"/>
    </row>
    <row r="286" spans="3:3">
      <c r="C286" s="62"/>
    </row>
    <row r="287" spans="3:3">
      <c r="C287" s="62"/>
    </row>
    <row r="288" spans="3:3">
      <c r="C288" s="62"/>
    </row>
    <row r="289" spans="3:3">
      <c r="C289" s="62"/>
    </row>
    <row r="290" spans="3:3">
      <c r="C290" s="62"/>
    </row>
    <row r="291" spans="3:3">
      <c r="C291" s="62"/>
    </row>
    <row r="292" spans="3:3">
      <c r="C292" s="62"/>
    </row>
    <row r="293" spans="3:3">
      <c r="C293" s="62"/>
    </row>
    <row r="294" spans="3:3">
      <c r="C294" s="62"/>
    </row>
    <row r="295" spans="3:3">
      <c r="C295" s="62"/>
    </row>
    <row r="296" spans="3:3">
      <c r="C296" s="62"/>
    </row>
    <row r="297" spans="3:3">
      <c r="C297" s="62"/>
    </row>
    <row r="298" spans="3:3">
      <c r="C298" s="62"/>
    </row>
    <row r="299" spans="3:3">
      <c r="C299" s="62"/>
    </row>
    <row r="300" spans="3:3">
      <c r="C300" s="62"/>
    </row>
    <row r="301" spans="3:3">
      <c r="C301" s="62"/>
    </row>
    <row r="302" spans="3:3">
      <c r="C302" s="62"/>
    </row>
    <row r="303" spans="3:3">
      <c r="C303" s="62"/>
    </row>
    <row r="304" spans="3:3">
      <c r="C304" s="62"/>
    </row>
    <row r="305" spans="3:3">
      <c r="C305" s="62"/>
    </row>
    <row r="306" spans="3:3">
      <c r="C306" s="62"/>
    </row>
    <row r="307" spans="3:3">
      <c r="C307" s="62"/>
    </row>
    <row r="308" spans="3:3">
      <c r="C308" s="62"/>
    </row>
    <row r="309" spans="3:3">
      <c r="C309" s="62"/>
    </row>
    <row r="310" spans="3:3">
      <c r="C310" s="62"/>
    </row>
    <row r="311" spans="3:3">
      <c r="C311" s="62"/>
    </row>
    <row r="312" spans="3:3">
      <c r="C312" s="62"/>
    </row>
    <row r="313" spans="3:3">
      <c r="C313" s="62"/>
    </row>
    <row r="314" spans="3:3">
      <c r="C314" s="62"/>
    </row>
    <row r="315" spans="3:3">
      <c r="C315" s="62"/>
    </row>
    <row r="316" spans="3:3">
      <c r="C316" s="62"/>
    </row>
    <row r="317" spans="3:3">
      <c r="C317" s="62"/>
    </row>
    <row r="318" spans="3:3">
      <c r="C318" s="62"/>
    </row>
    <row r="319" spans="3:3">
      <c r="C319" s="62"/>
    </row>
    <row r="320" spans="3:3">
      <c r="C320" s="62"/>
    </row>
    <row r="321" spans="3:3">
      <c r="C321" s="62"/>
    </row>
    <row r="322" spans="3:3">
      <c r="C322" s="62"/>
    </row>
    <row r="323" spans="3:3">
      <c r="C323" s="62"/>
    </row>
    <row r="324" spans="3:3">
      <c r="C324" s="62"/>
    </row>
    <row r="325" spans="3:3">
      <c r="C325" s="62"/>
    </row>
    <row r="326" spans="3:3">
      <c r="C326" s="62"/>
    </row>
    <row r="327" spans="3:3">
      <c r="C327" s="62"/>
    </row>
    <row r="328" spans="3:3">
      <c r="C328" s="62"/>
    </row>
    <row r="329" spans="3:3">
      <c r="C329" s="62"/>
    </row>
    <row r="330" spans="3:3">
      <c r="C330" s="62"/>
    </row>
    <row r="331" spans="3:3">
      <c r="C331" s="62"/>
    </row>
    <row r="332" spans="3:3">
      <c r="C332" s="62"/>
    </row>
    <row r="333" spans="3:3">
      <c r="C333" s="62"/>
    </row>
    <row r="334" spans="3:3">
      <c r="C334" s="62"/>
    </row>
    <row r="335" spans="3:3">
      <c r="C335" s="62"/>
    </row>
    <row r="336" spans="3:3">
      <c r="C336" s="62"/>
    </row>
    <row r="337" spans="3:3">
      <c r="C337" s="62"/>
    </row>
    <row r="338" spans="3:3">
      <c r="C338" s="62"/>
    </row>
    <row r="339" spans="3:3">
      <c r="C339" s="62"/>
    </row>
    <row r="340" spans="3:3">
      <c r="C340" s="62"/>
    </row>
    <row r="341" spans="3:3">
      <c r="C341" s="62"/>
    </row>
    <row r="342" spans="3:3">
      <c r="C342" s="62"/>
    </row>
    <row r="343" spans="3:3">
      <c r="C343" s="62"/>
    </row>
    <row r="344" spans="3:3">
      <c r="C344" s="62"/>
    </row>
    <row r="345" spans="3:3">
      <c r="C345" s="62"/>
    </row>
    <row r="346" spans="3:3">
      <c r="C346" s="62"/>
    </row>
    <row r="347" spans="3:3">
      <c r="C347" s="62"/>
    </row>
    <row r="348" spans="3:3">
      <c r="C348" s="62"/>
    </row>
    <row r="349" spans="3:3">
      <c r="C349" s="62"/>
    </row>
    <row r="350" spans="3:3">
      <c r="C350" s="62"/>
    </row>
    <row r="351" spans="3:3">
      <c r="C351" s="62"/>
    </row>
    <row r="352" spans="3:3">
      <c r="C352" s="62"/>
    </row>
    <row r="353" spans="3:3">
      <c r="C353" s="62"/>
    </row>
    <row r="354" spans="3:3">
      <c r="C354" s="62"/>
    </row>
    <row r="355" spans="3:3">
      <c r="C355" s="62"/>
    </row>
    <row r="356" spans="3:3">
      <c r="C356" s="62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1:E144" name="Range1"/>
  </protectedRanges>
  <mergeCells count="1">
    <mergeCell ref="A1:D1"/>
  </mergeCells>
  <conditionalFormatting sqref="A94">
    <cfRule type="expression" dxfId="0" priority="33">
      <formula>AND(SUMPRODUCT(IFERROR(1*(($A$94&amp;"x")=(A94&amp;"x")),0))&gt;1,NOT(ISBLANK(A94)))</formula>
    </cfRule>
  </conditionalFormatting>
  <conditionalFormatting sqref="A95">
    <cfRule type="expression" dxfId="0" priority="32">
      <formula>AND(SUMPRODUCT(IFERROR(1*(($A$95&amp;"x")=(A95&amp;"x")),0))&gt;1,NOT(ISBLANK(A95)))</formula>
    </cfRule>
  </conditionalFormatting>
  <conditionalFormatting sqref="A96">
    <cfRule type="expression" dxfId="0" priority="31">
      <formula>AND(SUMPRODUCT(IFERROR(1*(($A$96&amp;"x")=(A96&amp;"x")),0))&gt;1,NOT(ISBLANK(A96)))</formula>
    </cfRule>
  </conditionalFormatting>
  <conditionalFormatting sqref="A97">
    <cfRule type="expression" dxfId="0" priority="30">
      <formula>AND(SUMPRODUCT(IFERROR(1*(($A$97&amp;"x")=(A97&amp;"x")),0))&gt;1,NOT(ISBLANK(A97)))</formula>
    </cfRule>
  </conditionalFormatting>
  <conditionalFormatting sqref="A98">
    <cfRule type="expression" dxfId="0" priority="29">
      <formula>AND(SUMPRODUCT(IFERROR(1*(($A$98&amp;"x")=(A98&amp;"x")),0))&gt;1,NOT(ISBLANK(A98)))</formula>
    </cfRule>
  </conditionalFormatting>
  <conditionalFormatting sqref="A99">
    <cfRule type="expression" dxfId="0" priority="28">
      <formula>AND(SUMPRODUCT(IFERROR(1*(($A$99&amp;"x")=(A99&amp;"x")),0))&gt;1,NOT(ISBLANK(A99)))</formula>
    </cfRule>
  </conditionalFormatting>
  <conditionalFormatting sqref="A100">
    <cfRule type="expression" dxfId="0" priority="27">
      <formula>AND(SUMPRODUCT(IFERROR(1*(($A$100&amp;"x")=(A100&amp;"x")),0))&gt;1,NOT(ISBLANK(A100)))</formula>
    </cfRule>
  </conditionalFormatting>
  <conditionalFormatting sqref="A101">
    <cfRule type="expression" dxfId="0" priority="26">
      <formula>AND(SUMPRODUCT(IFERROR(1*(($A$101&amp;"x")=(A101&amp;"x")),0))&gt;1,NOT(ISBLANK(A101)))</formula>
    </cfRule>
  </conditionalFormatting>
  <conditionalFormatting sqref="A102">
    <cfRule type="expression" dxfId="0" priority="25">
      <formula>AND(SUMPRODUCT(IFERROR(1*(($A$102&amp;"x")=(A102&amp;"x")),0))&gt;1,NOT(ISBLANK(A102)))</formula>
    </cfRule>
  </conditionalFormatting>
  <conditionalFormatting sqref="A103">
    <cfRule type="expression" dxfId="0" priority="24">
      <formula>AND(SUMPRODUCT(IFERROR(1*(($A$103&amp;"x")=(A103&amp;"x")),0))&gt;1,NOT(ISBLANK(A103)))</formula>
    </cfRule>
  </conditionalFormatting>
  <conditionalFormatting sqref="A104">
    <cfRule type="expression" dxfId="0" priority="23">
      <formula>AND(SUMPRODUCT(IFERROR(1*(($A$104&amp;"x")=(A104&amp;"x")),0))&gt;1,NOT(ISBLANK(A104)))</formula>
    </cfRule>
  </conditionalFormatting>
  <conditionalFormatting sqref="A105">
    <cfRule type="expression" dxfId="0" priority="22">
      <formula>AND(SUMPRODUCT(IFERROR(1*(($A$105&amp;"x")=(A105&amp;"x")),0))&gt;1,NOT(ISBLANK(A105)))</formula>
    </cfRule>
  </conditionalFormatting>
  <conditionalFormatting sqref="A106">
    <cfRule type="expression" dxfId="0" priority="21">
      <formula>AND(SUMPRODUCT(IFERROR(1*(($A$106&amp;"x")=(A106&amp;"x")),0))&gt;1,NOT(ISBLANK(A106)))</formula>
    </cfRule>
  </conditionalFormatting>
  <conditionalFormatting sqref="A107">
    <cfRule type="expression" dxfId="0" priority="20">
      <formula>AND(SUMPRODUCT(IFERROR(1*(($A$107&amp;"x")=(A107&amp;"x")),0))&gt;1,NOT(ISBLANK(A107)))</formula>
    </cfRule>
  </conditionalFormatting>
  <conditionalFormatting sqref="A108">
    <cfRule type="expression" dxfId="0" priority="19">
      <formula>AND(SUMPRODUCT(IFERROR(1*(($A$108&amp;"x")=(A108&amp;"x")),0))&gt;1,NOT(ISBLANK(A108)))</formula>
    </cfRule>
  </conditionalFormatting>
  <conditionalFormatting sqref="A109">
    <cfRule type="expression" dxfId="0" priority="18">
      <formula>AND(SUMPRODUCT(IFERROR(1*(($A$109&amp;"x")=(A109&amp;"x")),0))&gt;1,NOT(ISBLANK(A109)))</formula>
    </cfRule>
  </conditionalFormatting>
  <conditionalFormatting sqref="A110">
    <cfRule type="expression" dxfId="0" priority="17">
      <formula>AND(SUMPRODUCT(IFERROR(1*(($A$110&amp;"x")=(A110&amp;"x")),0))&gt;1,NOT(ISBLANK(A110)))</formula>
    </cfRule>
  </conditionalFormatting>
  <conditionalFormatting sqref="A111">
    <cfRule type="expression" dxfId="0" priority="16">
      <formula>AND(SUMPRODUCT(IFERROR(1*(($A$111&amp;"x")=(A111&amp;"x")),0))&gt;1,NOT(ISBLANK(A111)))</formula>
    </cfRule>
  </conditionalFormatting>
  <conditionalFormatting sqref="A112">
    <cfRule type="expression" dxfId="0" priority="15">
      <formula>AND(SUMPRODUCT(IFERROR(1*(($A$112&amp;"x")=(A112&amp;"x")),0))&gt;1,NOT(ISBLANK(A112)))</formula>
    </cfRule>
  </conditionalFormatting>
  <conditionalFormatting sqref="A113">
    <cfRule type="expression" dxfId="0" priority="14">
      <formula>AND(SUMPRODUCT(IFERROR(1*(($A$113&amp;"x")=(A113&amp;"x")),0))&gt;1,NOT(ISBLANK(A113)))</formula>
    </cfRule>
  </conditionalFormatting>
  <conditionalFormatting sqref="A114">
    <cfRule type="expression" dxfId="0" priority="13">
      <formula>AND(SUMPRODUCT(IFERROR(1*(($A$114&amp;"x")=(A114&amp;"x")),0))&gt;1,NOT(ISBLANK(A114)))</formula>
    </cfRule>
  </conditionalFormatting>
  <conditionalFormatting sqref="A115">
    <cfRule type="expression" dxfId="0" priority="12">
      <formula>AND(SUMPRODUCT(IFERROR(1*(($A$115&amp;"x")=(A115&amp;"x")),0))&gt;1,NOT(ISBLANK(A115)))</formula>
    </cfRule>
  </conditionalFormatting>
  <conditionalFormatting sqref="A116">
    <cfRule type="expression" dxfId="0" priority="11">
      <formula>AND(SUMPRODUCT(IFERROR(1*(($A$116&amp;"x")=(A116&amp;"x")),0))&gt;1,NOT(ISBLANK(A116)))</formula>
    </cfRule>
  </conditionalFormatting>
  <conditionalFormatting sqref="A117">
    <cfRule type="expression" dxfId="0" priority="10">
      <formula>AND(SUMPRODUCT(IFERROR(1*(($A$117&amp;"x")=(A117&amp;"x")),0))&gt;1,NOT(ISBLANK(A117)))</formula>
    </cfRule>
  </conditionalFormatting>
  <conditionalFormatting sqref="A118">
    <cfRule type="expression" dxfId="0" priority="9">
      <formula>AND(SUMPRODUCT(IFERROR(1*(($A$118&amp;"x")=(A118&amp;"x")),0))&gt;1,NOT(ISBLANK(A118)))</formula>
    </cfRule>
  </conditionalFormatting>
  <conditionalFormatting sqref="A119">
    <cfRule type="expression" dxfId="0" priority="8">
      <formula>AND(SUMPRODUCT(IFERROR(1*(($A$119&amp;"x")=(A119&amp;"x")),0))&gt;1,NOT(ISBLANK(A119)))</formula>
    </cfRule>
  </conditionalFormatting>
  <conditionalFormatting sqref="A120">
    <cfRule type="expression" dxfId="0" priority="7">
      <formula>AND(SUMPRODUCT(IFERROR(1*(($A$120&amp;"x")=(A120&amp;"x")),0))&gt;1,NOT(ISBLANK(A120)))</formula>
    </cfRule>
  </conditionalFormatting>
  <conditionalFormatting sqref="A121">
    <cfRule type="expression" dxfId="0" priority="6">
      <formula>AND(SUMPRODUCT(IFERROR(1*(($A$121&amp;"x")=(A121&amp;"x")),0))&gt;1,NOT(ISBLANK(A121)))</formula>
    </cfRule>
  </conditionalFormatting>
  <conditionalFormatting sqref="A122">
    <cfRule type="expression" dxfId="0" priority="5">
      <formula>AND(SUMPRODUCT(IFERROR(1*(($A$122&amp;"x")=(A122&amp;"x")),0))&gt;1,NOT(ISBLANK(A122)))</formula>
    </cfRule>
  </conditionalFormatting>
  <conditionalFormatting sqref="A123">
    <cfRule type="expression" dxfId="0" priority="4">
      <formula>AND(SUMPRODUCT(IFERROR(1*(($A$123&amp;"x")=(A123&amp;"x")),0))&gt;1,NOT(ISBLANK(A123)))</formula>
    </cfRule>
  </conditionalFormatting>
  <conditionalFormatting sqref="A124">
    <cfRule type="expression" dxfId="0" priority="3">
      <formula>AND(SUMPRODUCT(IFERROR(1*(($A$124&amp;"x")=(A124&amp;"x")),0))&gt;1,NOT(ISBLANK(A124)))</formula>
    </cfRule>
  </conditionalFormatting>
  <conditionalFormatting sqref="A125">
    <cfRule type="expression" dxfId="0" priority="2">
      <formula>AND(SUMPRODUCT(IFERROR(1*(($A$125&amp;"x")=(A125&amp;"x")),0))&gt;1,NOT(ISBLANK(A125)))</formula>
    </cfRule>
  </conditionalFormatting>
  <conditionalFormatting sqref="A12:A93">
    <cfRule type="expression" dxfId="0" priority="46">
      <formula>AND(SUMPRODUCT(IFERROR(1*(($A$12:$A$93&amp;"x")=(A12&amp;"x")),0))&gt;1,NOT(ISBLANK(A12)))</formula>
    </cfRule>
  </conditionalFormatting>
  <conditionalFormatting sqref="A126:A177">
    <cfRule type="expression" dxfId="0" priority="61">
      <formula>AND(SUMPRODUCT(IFERROR(1*(($A$126:$A$177&amp;"x")=(A126&amp;"x")),0))&gt;1,NOT(ISBLANK(A126)))</formula>
    </cfRule>
  </conditionalFormatting>
  <conditionalFormatting sqref="C3:C10">
    <cfRule type="iconSet" priority="60">
      <iconSet iconSet="3Symbols">
        <cfvo type="percent" val="0"/>
        <cfvo type="num" val="0" gte="0"/>
        <cfvo type="num" val="500"/>
      </iconSet>
    </cfRule>
  </conditionalFormatting>
  <conditionalFormatting sqref="C12:C93">
    <cfRule type="cellIs" dxfId="1" priority="37" operator="greaterThanOrEqual">
      <formula>500</formula>
    </cfRule>
    <cfRule type="cellIs" dxfId="2" priority="36" operator="between">
      <formula>200</formula>
      <formula>500</formula>
    </cfRule>
    <cfRule type="cellIs" dxfId="3" priority="35" operator="lessThan">
      <formula>200</formula>
    </cfRule>
  </conditionalFormatting>
  <conditionalFormatting sqref="C12:C16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{7d093b0c-3fe0-4e95-80da-924efd48b5d1}</x14:id>
        </ext>
      </extLst>
    </cfRule>
  </conditionalFormatting>
  <conditionalFormatting sqref="C94:C166">
    <cfRule type="cellIs" dxfId="1" priority="49" operator="greaterThanOrEqual">
      <formula>500</formula>
    </cfRule>
    <cfRule type="cellIs" dxfId="2" priority="48" operator="between">
      <formula>200</formula>
      <formula>500</formula>
    </cfRule>
    <cfRule type="cellIs" dxfId="3" priority="47" operator="lessThan">
      <formula>200</formula>
    </cfRule>
  </conditionalFormatting>
  <conditionalFormatting sqref="C167:C195">
    <cfRule type="dataBar" priority="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{c9140f37-34a0-4ac4-be0d-1669abce6a22}</x14:id>
        </ext>
      </extLst>
    </cfRule>
    <cfRule type="cellIs" dxfId="1" priority="55" operator="greaterThanOrEqual">
      <formula>500</formula>
    </cfRule>
    <cfRule type="cellIs" dxfId="2" priority="54" operator="between">
      <formula>200</formula>
      <formula>500</formula>
    </cfRule>
    <cfRule type="cellIs" dxfId="3" priority="53" operator="lessThan">
      <formula>200</formula>
    </cfRule>
  </conditionalFormatting>
  <conditionalFormatting sqref="D3:D10">
    <cfRule type="expression" dxfId="4" priority="59">
      <formula>C3&lt;=0</formula>
    </cfRule>
    <cfRule type="expression" dxfId="5" priority="58">
      <formula>AND(C3&gt;0,C3&lt;=500)</formula>
    </cfRule>
    <cfRule type="expression" dxfId="6" priority="57">
      <formula>C3&gt;500</formula>
    </cfRule>
  </conditionalFormatting>
  <conditionalFormatting sqref="D12:D144">
    <cfRule type="containsText" dxfId="7" priority="45" operator="between" text="【CbHz】吃饱喝足就是玩">
      <formula>NOT(ISERROR(SEARCH("【CbHz】吃饱喝足就是玩",D12)))</formula>
    </cfRule>
    <cfRule type="containsText" dxfId="8" priority="44" operator="between" text="【SSR】Superior Super Rare">
      <formula>NOT(ISERROR(SEARCH("【SSR】Superior Super Rare",D12)))</formula>
    </cfRule>
    <cfRule type="containsText" dxfId="9" priority="43" operator="between" text="【OldH】老H犟嘴">
      <formula>NOT(ISERROR(SEARCH("【OldH】老H犟嘴",D12)))</formula>
    </cfRule>
    <cfRule type="containsText" dxfId="10" priority="42" operator="between" text="【AWO】逃出生天">
      <formula>NOT(ISERROR(SEARCH("【AWO】逃出生天",D12)))</formula>
    </cfRule>
    <cfRule type="containsText" dxfId="11" priority="41" operator="between" text="【G2】G2‭">
      <formula>NOT(ISERROR(SEARCH("【G2】G2‭",D12)))</formula>
    </cfRule>
    <cfRule type="containsText" dxfId="12" priority="40" operator="between" text="【TV】Team Vitality">
      <formula>NOT(ISERROR(SEARCH("【TV】Team Vitality",D12)))</formula>
    </cfRule>
    <cfRule type="containsText" dxfId="13" priority="39" operator="between" text="【Miniworld】迷你世界">
      <formula>NOT(ISERROR(SEARCH("【Miniworld】迷你世界",D12)))</formula>
    </cfRule>
    <cfRule type="containsText" dxfId="14" priority="38" operator="between" text="【NikoFC】NikoCN Fanclub">
      <formula>NOT(ISERROR(SEARCH("【NikoFC】NikoCN Fanclub",D12)))</formula>
    </cfRule>
    <cfRule type="containsText" dxfId="15" priority="34" operator="between" text="流拍待定">
      <formula>NOT(ISERROR(SEARCH("流拍待定",D12)))</formula>
    </cfRule>
  </conditionalFormatting>
  <conditionalFormatting sqref="E12:E93">
    <cfRule type="containsText" dxfId="16" priority="52" operator="between" text="正在竞拍">
      <formula>NOT(ISERROR(SEARCH("正在竞拍",E12)))</formula>
    </cfRule>
    <cfRule type="containsText" dxfId="17" priority="51" operator="between" text="球员已拍定">
      <formula>NOT(ISERROR(SEARCH("球员已拍定",E12)))</formula>
    </cfRule>
    <cfRule type="containsText" dxfId="15" priority="50" operator="between" text="流拍待定">
      <formula>NOT(ISERROR(SEARCH("流拍待定",E12)))</formula>
    </cfRule>
  </conditionalFormatting>
  <dataValidations count="2">
    <dataValidation type="whole" operator="between" showErrorMessage="1" errorTitle="出价错误" error="出价范围在0-3000（W）之内" sqref="C12:C211" errorStyle="information">
      <formula1>0</formula1>
      <formula2>3000</formula2>
    </dataValidation>
    <dataValidation type="list" showErrorMessage="1" errorTitle="错误提示" error="请输入下拉列表中的值" sqref="D12:D144 D148:D195">
      <formula1>"【Cbhz】吃饱喝足就是玩,【SSR】Superior Super Rare,【OldH】老H犟嘴,【AWO】逃出生天,【G2】G2‭,【TV】Team Vitality,【Miniworld】迷你世界,【NikoFC】NikoCN Fanclub,流拍待定"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093b0c-3fe0-4e95-80da-924efd48b5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C12:C166</xm:sqref>
        </x14:conditionalFormatting>
        <x14:conditionalFormatting xmlns:xm="http://schemas.microsoft.com/office/excel/2006/main">
          <x14:cfRule type="dataBar" id="{c9140f37-34a0-4ac4-be0d-1669abce6a2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C167:C195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0"/>
  <sheetViews>
    <sheetView tabSelected="1" zoomScale="121" zoomScaleNormal="121" workbookViewId="0">
      <pane ySplit="11" topLeftCell="A93" activePane="bottomLeft" state="frozen"/>
      <selection/>
      <selection pane="bottomLeft" activeCell="C96" sqref="C96"/>
    </sheetView>
  </sheetViews>
  <sheetFormatPr defaultColWidth="9" defaultRowHeight="29.25" outlineLevelCol="7"/>
  <cols>
    <col min="1" max="2" width="36.1111111111111" style="262" customWidth="1"/>
    <col min="3" max="3" width="36.1111111111111" style="263" customWidth="1"/>
    <col min="4" max="4" width="43.6444444444444" style="264" customWidth="1"/>
    <col min="5" max="5" width="18.3333333333333" style="265" customWidth="1"/>
    <col min="6" max="6" width="36.1111111111111" style="264" customWidth="1"/>
    <col min="7" max="7" width="17.9333333333333" style="266" customWidth="1"/>
    <col min="8" max="8" width="9" style="267"/>
    <col min="9" max="16384" width="9" style="28"/>
  </cols>
  <sheetData>
    <row r="1" ht="40.5" spans="1:7">
      <c r="A1" s="268" t="s">
        <v>0</v>
      </c>
      <c r="B1" s="268"/>
      <c r="C1" s="268"/>
      <c r="D1" s="268"/>
      <c r="E1" s="268"/>
      <c r="F1" s="268"/>
      <c r="G1" s="269"/>
    </row>
    <row r="2" spans="1:7">
      <c r="A2" s="270" t="s">
        <v>1</v>
      </c>
      <c r="B2" s="270" t="s">
        <v>2</v>
      </c>
      <c r="C2" s="270" t="s">
        <v>3</v>
      </c>
      <c r="D2" s="270" t="s">
        <v>4</v>
      </c>
      <c r="E2" s="270" t="s">
        <v>5</v>
      </c>
      <c r="F2" s="270"/>
      <c r="G2" s="271"/>
    </row>
    <row r="3" ht="31.5" spans="1:7">
      <c r="A3" s="272" t="s">
        <v>6</v>
      </c>
      <c r="B3" s="273">
        <f>'队伍收入状况 '!D2</f>
        <v>2250</v>
      </c>
      <c r="C3" s="274">
        <f>B3-SUMIFS($B$11:$B$209,$C$11:$C$209,A3,$E$11:$E$209,"首轮交易")+SUMIFS($B$11:$B$209,$D$11:$D$209,A3,$E$11:$E$209,"首轮交易")-SUMIFS($B$11:$B$209,$C$11:$C$209,A3,$E$11:$E$209,"二轮交易")+SUMIFS($B$11:$B$209,$D$11:$D$209,A3,$E$11:$E$209,"二轮交易")-SUMIFS($B$11:$B$209,$C$11:$C$209,A3,$E$11:$E$209,"三轮交易")+SUMIFS($B$11:$B$209,$D$11:$D$209,A3,$E$11:$E$209,"三轮交易")-SUMIFS($B$11:$B$209,$C$11:$C$209,A3,$E$11:$E$209,"四轮交易")+SUMIFS($B$11:$B$209,$D$11:$D$209,A3,$E$11:$E$209,"四轮交易")</f>
        <v>20</v>
      </c>
      <c r="D3" s="275" t="str">
        <f t="shared" ref="D3:D10" si="0">IF(C3&lt;=0,"超支",IF(C3&lt;=500,"即将超支，剩余"&amp;TEXT(C3,"0")&amp;"W第纳尔","资金状况良好"))</f>
        <v>即将超支，剩余20W第纳尔</v>
      </c>
      <c r="E3" s="276" t="s">
        <v>7</v>
      </c>
      <c r="F3" s="276"/>
      <c r="G3" s="277"/>
    </row>
    <row r="4" ht="31.5" spans="1:7">
      <c r="A4" s="278" t="s">
        <v>8</v>
      </c>
      <c r="B4" s="273">
        <f>'队伍收入状况 '!D3</f>
        <v>2550</v>
      </c>
      <c r="C4" s="274">
        <f>B4-SUMIFS(交易历史!$B$11:$B$209,交易历史!$C$11:$C$209,A4,交易历史!$E$11:$E$209,"首轮交易")+SUMIFS(交易历史!$B$11:$B$209,交易历史!$D$11:$D$209,A4,交易历史!$E$11:$E$209,"首轮交易")-SUMIFS(交易历史!$B$11:$B$209,交易历史!$C$11:$C$209,A4,交易历史!$E$11:$E$209,"二轮交易")+SUMIFS(交易历史!$B$11:$B$209,交易历史!$D$11:$D$209,A4,交易历史!$E$11:$E$209,"二轮交易")-SUMIFS(交易历史!$B$11:$B$209,交易历史!$C$11:$C$209,A4,交易历史!$E$11:$E$209,"三轮交易")+SUMIFS(交易历史!$B$11:$B$209,交易历史!$D$11:$D$209,A4,交易历史!$E$11:$E$209,"三轮交易")-SUMIFS(交易历史!$B$11:$B$209,交易历史!$C$11:$C$209,A4,交易历史!$E$11:$E$209,"四轮交易")+SUMIFS(交易历史!$B$11:$B$209,交易历史!$D$11:$D$209,A4,交易历史!$E$11:$E$209,"四轮交易")</f>
        <v>0</v>
      </c>
      <c r="D4" s="275" t="str">
        <f t="shared" si="0"/>
        <v>超支</v>
      </c>
      <c r="E4" s="276" t="s">
        <v>9</v>
      </c>
      <c r="F4" s="276"/>
      <c r="G4" s="277"/>
    </row>
    <row r="5" ht="31.5" spans="1:7">
      <c r="A5" s="279" t="s">
        <v>10</v>
      </c>
      <c r="B5" s="273">
        <f>'队伍收入状况 '!D4</f>
        <v>2100</v>
      </c>
      <c r="C5" s="274">
        <f>B5-SUMIFS(交易历史!$B$11:$B$209,交易历史!$C$11:$C$209,A5,交易历史!$E$11:$E$209,"首轮交易")+SUMIFS(交易历史!$B$11:$B$209,交易历史!$D$11:$D$209,A5,交易历史!$E$11:$E$209,"首轮交易")-SUMIFS(交易历史!$B$11:$B$209,交易历史!$C$11:$C$209,A5,交易历史!$E$11:$E$209,"二轮交易")+SUMIFS(交易历史!$B$11:$B$209,交易历史!$D$11:$D$209,A5,交易历史!$E$11:$E$209,"二轮交易")-SUMIFS(交易历史!$B$11:$B$209,交易历史!$C$11:$C$209,A5,交易历史!$E$11:$E$209,"三轮交易")+SUMIFS(交易历史!$B$11:$B$209,交易历史!$D$11:$D$209,A5,交易历史!$E$11:$E$209,"三轮交易")-SUMIFS(交易历史!$B$11:$B$209,交易历史!$C$11:$C$209,A5,交易历史!$E$11:$E$209,"四轮交易")+SUMIFS(交易历史!$B$11:$B$209,交易历史!$D$11:$D$209,A5,交易历史!$E$11:$E$209,"四轮交易")</f>
        <v>30</v>
      </c>
      <c r="D5" s="275" t="str">
        <f t="shared" si="0"/>
        <v>即将超支，剩余30W第纳尔</v>
      </c>
      <c r="E5" s="276" t="s">
        <v>11</v>
      </c>
      <c r="F5" s="276"/>
      <c r="G5" s="277"/>
    </row>
    <row r="6" ht="31.5" spans="1:7">
      <c r="A6" s="280" t="s">
        <v>12</v>
      </c>
      <c r="B6" s="273">
        <f>'队伍收入状况 '!D5</f>
        <v>2200</v>
      </c>
      <c r="C6" s="274">
        <f>B6-SUMIFS(交易历史!$B$11:$B$209,交易历史!$C$11:$C$209,A6,交易历史!$E$11:$E$209,"首轮交易")+SUMIFS(交易历史!$B$11:$B$209,交易历史!$D$11:$D$209,A6,交易历史!$E$11:$E$209,"首轮交易")-SUMIFS(交易历史!$B$11:$B$209,交易历史!$C$11:$C$209,A6,交易历史!$E$11:$E$209,"二轮交易")+SUMIFS(交易历史!$B$11:$B$209,交易历史!$D$11:$D$209,A6,交易历史!$E$11:$E$209,"二轮交易")-SUMIFS(交易历史!$B$11:$B$209,交易历史!$C$11:$C$209,A6,交易历史!$E$11:$E$209,"三轮交易")+SUMIFS(交易历史!$B$11:$B$209,交易历史!$D$11:$D$209,A6,交易历史!$E$11:$E$209,"三轮交易")-SUMIFS(交易历史!$B$11:$B$209,交易历史!$C$11:$C$209,A6,交易历史!$E$11:$E$209,"四轮交易")+SUMIFS(交易历史!$B$11:$B$209,交易历史!$D$11:$D$209,A6,交易历史!$E$11:$E$209,"四轮交易")</f>
        <v>630</v>
      </c>
      <c r="D6" s="275" t="str">
        <f t="shared" si="0"/>
        <v>资金状况良好</v>
      </c>
      <c r="E6" s="276" t="s">
        <v>13</v>
      </c>
      <c r="F6" s="276"/>
      <c r="G6" s="277"/>
    </row>
    <row r="7" ht="31.5" spans="1:7">
      <c r="A7" s="281" t="s">
        <v>14</v>
      </c>
      <c r="B7" s="273">
        <f>'队伍收入状况 '!D6</f>
        <v>2200</v>
      </c>
      <c r="C7" s="274">
        <f>B7-SUMIFS(交易历史!$B$11:$B$209,交易历史!$C$11:$C$209,A7,交易历史!$E$11:$E$209,"首轮交易")+SUMIFS(交易历史!$B$11:$B$209,交易历史!$D$11:$D$209,A7,交易历史!$E$11:$E$209,"首轮交易")-SUMIFS(交易历史!$B$11:$B$209,交易历史!$C$11:$C$209,A7,交易历史!$E$11:$E$209,"二轮交易")+SUMIFS(交易历史!$B$11:$B$209,交易历史!$D$11:$D$209,A7,交易历史!$E$11:$E$209,"二轮交易")-SUMIFS(交易历史!$B$11:$B$209,交易历史!$C$11:$C$209,A7,交易历史!$E$11:$E$209,"三轮交易")+SUMIFS(交易历史!$B$11:$B$209,交易历史!$D$11:$D$209,A7,交易历史!$E$11:$E$209,"三轮交易")-SUMIFS(交易历史!$B$11:$B$209,交易历史!$C$11:$C$209,A7,交易历史!$E$11:$E$209,"四轮交易")+SUMIFS(交易历史!$B$11:$B$209,交易历史!$D$11:$D$209,A7,交易历史!$E$11:$E$209,"四轮交易")</f>
        <v>90</v>
      </c>
      <c r="D7" s="275" t="str">
        <f t="shared" si="0"/>
        <v>即将超支，剩余90W第纳尔</v>
      </c>
      <c r="E7" s="276" t="s">
        <v>15</v>
      </c>
      <c r="F7" s="276"/>
      <c r="G7" s="277"/>
    </row>
    <row r="8" ht="31.5" spans="1:7">
      <c r="A8" s="282" t="s">
        <v>16</v>
      </c>
      <c r="B8" s="273">
        <f>'队伍收入状况 '!D7</f>
        <v>2200</v>
      </c>
      <c r="C8" s="274">
        <f>B8-SUMIFS(交易历史!$B$11:$B$209,交易历史!$C$11:$C$209,A8,交易历史!$E$11:$E$209,"首轮交易")+SUMIFS(交易历史!$B$11:$B$209,交易历史!$D$11:$D$209,A8,交易历史!$E$11:$E$209,"首轮交易")-SUMIFS(交易历史!$B$11:$B$209,交易历史!$C$11:$C$209,A8,交易历史!$E$11:$E$209,"二轮交易")+SUMIFS(交易历史!$B$11:$B$209,交易历史!$D$11:$D$209,A8,交易历史!$E$11:$E$209,"二轮交易")-SUMIFS(交易历史!$B$11:$B$209,交易历史!$C$11:$C$209,A8,交易历史!$E$11:$E$209,"三轮交易")+SUMIFS(交易历史!$B$11:$B$209,交易历史!$D$11:$D$209,A8,交易历史!$E$11:$E$209,"三轮交易")-SUMIFS(交易历史!$B$11:$B$209,交易历史!$C$11:$C$209,A8,交易历史!$E$11:$E$209,"四轮交易")+SUMIFS(交易历史!$B$11:$B$209,交易历史!$D$11:$D$209,A8,交易历史!$E$11:$E$209,"四轮交易")</f>
        <v>90</v>
      </c>
      <c r="D8" s="275" t="str">
        <f t="shared" si="0"/>
        <v>即将超支，剩余90W第纳尔</v>
      </c>
      <c r="E8" s="276" t="s">
        <v>17</v>
      </c>
      <c r="F8" s="276"/>
      <c r="G8" s="277"/>
    </row>
    <row r="9" ht="31.5" spans="1:7">
      <c r="A9" s="283" t="s">
        <v>18</v>
      </c>
      <c r="B9" s="273">
        <f>'队伍收入状况 '!D8</f>
        <v>2750</v>
      </c>
      <c r="C9" s="274">
        <f>B9-SUMIFS(交易历史!$B$11:$B$209,交易历史!$C$11:$C$209,A9,交易历史!$E$11:$E$209,"首轮交易")+SUMIFS(交易历史!$B$11:$B$209,交易历史!$D$11:$D$209,A9,交易历史!$E$11:$E$209,"首轮交易")-SUMIFS(交易历史!$B$11:$B$209,交易历史!$C$11:$C$209,A9,交易历史!$E$11:$E$209,"二轮交易")+SUMIFS(交易历史!$B$11:$B$209,交易历史!$D$11:$D$209,A9,交易历史!$E$11:$E$209,"二轮交易")-SUMIFS(交易历史!$B$11:$B$209,交易历史!$C$11:$C$209,A9,交易历史!$E$11:$E$209,"三轮交易")+SUMIFS(交易历史!$B$11:$B$209,交易历史!$D$11:$D$209,A9,交易历史!$E$11:$E$209,"三轮交易")-SUMIFS(交易历史!$B$11:$B$209,交易历史!$C$11:$C$209,A9,交易历史!$E$11:$E$209,"四轮交易")+SUMIFS(交易历史!$B$11:$B$209,交易历史!$D$11:$D$209,A9,交易历史!$E$11:$E$209,"四轮交易")</f>
        <v>650</v>
      </c>
      <c r="D9" s="275" t="str">
        <f t="shared" si="0"/>
        <v>资金状况良好</v>
      </c>
      <c r="E9" s="276" t="s">
        <v>19</v>
      </c>
      <c r="F9" s="276"/>
      <c r="G9" s="277"/>
    </row>
    <row r="10" ht="31.5" spans="1:7">
      <c r="A10" s="284" t="s">
        <v>20</v>
      </c>
      <c r="B10" s="273">
        <f>'队伍收入状况 '!D9</f>
        <v>2700</v>
      </c>
      <c r="C10" s="274">
        <f>B10-SUMIFS(交易历史!$B$11:$B$209,交易历史!$C$11:$C$209,A10,交易历史!$E$11:$E$209,"首轮交易")+SUMIFS(交易历史!$B$11:$B$209,交易历史!$D$11:$D$209,A10,交易历史!$E$11:$E$209,"首轮交易")-SUMIFS(交易历史!$B$11:$B$209,交易历史!$C$11:$C$209,A10,交易历史!$E$11:$E$209,"二轮交易")+SUMIFS(交易历史!$B$11:$B$209,交易历史!$D$11:$D$209,A10,交易历史!$E$11:$E$209,"二轮交易")-SUMIFS(交易历史!$B$11:$B$209,交易历史!$C$11:$C$209,A10,交易历史!$E$11:$E$209,"三轮交易")+SUMIFS(交易历史!$B$11:$B$209,交易历史!$D$11:$D$209,A10,交易历史!$E$11:$E$209,"三轮交易")-SUMIFS(交易历史!$B$11:$B$209,交易历史!$C$11:$C$209,A10,交易历史!$E$11:$E$209,"四轮交易")+SUMIFS(交易历史!$B$11:$B$209,交易历史!$D$11:$D$209,A10,交易历史!$E$11:$E$209,"四轮交易")</f>
        <v>360</v>
      </c>
      <c r="D10" s="285" t="str">
        <f t="shared" si="0"/>
        <v>即将超支，剩余360W第纳尔</v>
      </c>
      <c r="E10" s="276" t="s">
        <v>21</v>
      </c>
      <c r="F10" s="276"/>
      <c r="G10" s="277"/>
    </row>
    <row r="11" s="261" customFormat="1" spans="1:8">
      <c r="A11" s="286" t="s">
        <v>218</v>
      </c>
      <c r="B11" s="286" t="s">
        <v>219</v>
      </c>
      <c r="C11" s="286" t="s">
        <v>220</v>
      </c>
      <c r="D11" s="286" t="s">
        <v>221</v>
      </c>
      <c r="E11" s="287" t="s">
        <v>222</v>
      </c>
      <c r="F11" s="286" t="s">
        <v>223</v>
      </c>
      <c r="G11" s="286" t="s">
        <v>224</v>
      </c>
      <c r="H11" s="288"/>
    </row>
    <row r="12" ht="31.5" spans="1:8">
      <c r="A12" s="289" t="s">
        <v>27</v>
      </c>
      <c r="B12" s="289">
        <v>0</v>
      </c>
      <c r="C12" s="264" t="s">
        <v>14</v>
      </c>
      <c r="E12" s="265" t="s">
        <v>225</v>
      </c>
      <c r="F12" s="290" t="str" cm="1">
        <f t="array" ref="F12">IFERROR(INDEX(交易历史!C:C,MATCH(1,(交易历史!A:A=A12)*(交易历史!E:E="四轮交易"),0)),IFERROR(INDEX(交易历史!C:C,MATCH(1,(交易历史!A:A=A12)*(交易历史!E:E="三轮交易"),0)),IFERROR(INDEX(交易历史!C:C,MATCH(1,(交易历史!A:A=A12)*(交易历史!E:E="二轮交易"),0)),IFERROR(INDEX(交易历史!C:C,MATCH(1,(交易历史!A:A=A12)*(交易历史!E:E="首轮交易"),0)),""))))</f>
        <v>【G2】G2‭</v>
      </c>
      <c r="G12" s="291">
        <f>IF(A12&lt;&gt;"",_xlfn.MAXIFS($B$12:$B$210,$A$12:$A$210,A12),"")</f>
        <v>0</v>
      </c>
      <c r="H12" s="267">
        <f>IF(A12&lt;&gt;"",IF(COUNTIF($A12:$A$210,A12)=1,1,""),"")</f>
        <v>1</v>
      </c>
    </row>
    <row r="13" ht="31.5" spans="1:8">
      <c r="A13" s="289" t="s">
        <v>29</v>
      </c>
      <c r="B13" s="292">
        <v>80</v>
      </c>
      <c r="C13" s="264" t="s">
        <v>8</v>
      </c>
      <c r="E13" s="265" t="s">
        <v>225</v>
      </c>
      <c r="F13" s="290" t="str" cm="1">
        <f t="array" ref="F13">IFERROR(INDEX(交易历史!C:C,MATCH(1,(交易历史!A:A=A13)*(交易历史!E:E="四轮交易"),0)),IFERROR(INDEX(交易历史!C:C,MATCH(1,(交易历史!A:A=A13)*(交易历史!E:E="三轮交易"),0)),IFERROR(INDEX(交易历史!C:C,MATCH(1,(交易历史!A:A=A13)*(交易历史!E:E="二轮交易"),0)),IFERROR(INDEX(交易历史!C:C,MATCH(1,(交易历史!A:A=A13)*(交易历史!E:E="首轮交易"),0)),""))))</f>
        <v>【SSR】Superior Super Rare</v>
      </c>
      <c r="G13" s="291">
        <f>IF(A13&lt;&gt;"",_xlfn.MAXIFS($B$12:$B$210,$A$12:$A$210,A13),"")</f>
        <v>80</v>
      </c>
      <c r="H13" s="267">
        <f>IF(A13&lt;&gt;"",IF(COUNTIF($A13:$A$210,A13)=1,1,""),"")</f>
        <v>1</v>
      </c>
    </row>
    <row r="14" ht="31.5" spans="1:8">
      <c r="A14" s="289" t="s">
        <v>31</v>
      </c>
      <c r="B14" s="289">
        <v>0</v>
      </c>
      <c r="C14" s="264" t="s">
        <v>12</v>
      </c>
      <c r="E14" s="265" t="s">
        <v>225</v>
      </c>
      <c r="F14" s="290" t="str" cm="1">
        <f t="array" ref="F14">IFERROR(INDEX(交易历史!C:C,MATCH(1,(交易历史!A:A=A14)*(交易历史!E:E="四轮交易"),0)),IFERROR(INDEX(交易历史!C:C,MATCH(1,(交易历史!A:A=A14)*(交易历史!E:E="三轮交易"),0)),IFERROR(INDEX(交易历史!C:C,MATCH(1,(交易历史!A:A=A14)*(交易历史!E:E="二轮交易"),0)),IFERROR(INDEX(交易历史!C:C,MATCH(1,(交易历史!A:A=A14)*(交易历史!E:E="首轮交易"),0)),""))))</f>
        <v>【AWO】逃出生天</v>
      </c>
      <c r="G14" s="291">
        <f>IF(A14&lt;&gt;"",_xlfn.MAXIFS($B$12:$B$210,$A$12:$A$210,A14),"")</f>
        <v>0</v>
      </c>
      <c r="H14" s="267">
        <f>IF(A14&lt;&gt;"",IF(COUNTIF($A14:$A$210,A14)=1,1,""),"")</f>
        <v>1</v>
      </c>
    </row>
    <row r="15" ht="31.5" spans="1:8">
      <c r="A15" s="289" t="s">
        <v>32</v>
      </c>
      <c r="B15" s="289">
        <v>320</v>
      </c>
      <c r="C15" s="264" t="s">
        <v>20</v>
      </c>
      <c r="E15" s="265" t="s">
        <v>225</v>
      </c>
      <c r="F15" s="290" t="str" cm="1">
        <f t="array" ref="F15">IFERROR(INDEX(交易历史!C:C,MATCH(1,(交易历史!A:A=A15)*(交易历史!E:E="四轮交易"),0)),IFERROR(INDEX(交易历史!C:C,MATCH(1,(交易历史!A:A=A15)*(交易历史!E:E="三轮交易"),0)),IFERROR(INDEX(交易历史!C:C,MATCH(1,(交易历史!A:A=A15)*(交易历史!E:E="二轮交易"),0)),IFERROR(INDEX(交易历史!C:C,MATCH(1,(交易历史!A:A=A15)*(交易历史!E:E="首轮交易"),0)),""))))</f>
        <v>【NikoFC】NikoCN Fanclub</v>
      </c>
      <c r="G15" s="291">
        <f>IF(A15&lt;&gt;"",_xlfn.MAXIFS($B$12:$B$210,$A$12:$A$210,A15),"")</f>
        <v>320</v>
      </c>
      <c r="H15" s="267">
        <f>IF(A15&lt;&gt;"",IF(COUNTIF($A15:$A$210,A15)=1,1,""),"")</f>
        <v>1</v>
      </c>
    </row>
    <row r="16" ht="31.5" spans="1:8">
      <c r="A16" s="289" t="s">
        <v>34</v>
      </c>
      <c r="B16" s="292">
        <v>400</v>
      </c>
      <c r="C16" s="264" t="s">
        <v>8</v>
      </c>
      <c r="E16" s="265" t="s">
        <v>225</v>
      </c>
      <c r="F16" s="290" t="str" cm="1">
        <f t="array" ref="F16">IFERROR(INDEX(交易历史!C:C,MATCH(1,(交易历史!A:A=A16)*(交易历史!E:E="四轮交易"),0)),IFERROR(INDEX(交易历史!C:C,MATCH(1,(交易历史!A:A=A16)*(交易历史!E:E="三轮交易"),0)),IFERROR(INDEX(交易历史!C:C,MATCH(1,(交易历史!A:A=A16)*(交易历史!E:E="二轮交易"),0)),IFERROR(INDEX(交易历史!C:C,MATCH(1,(交易历史!A:A=A16)*(交易历史!E:E="首轮交易"),0)),""))))</f>
        <v>【SSR】Superior Super Rare</v>
      </c>
      <c r="G16" s="291">
        <f>IF(A16&lt;&gt;"",_xlfn.MAXIFS($B$12:$B$210,$A$12:$A$210,A16),"")</f>
        <v>400</v>
      </c>
      <c r="H16" s="267">
        <f>IF(A16&lt;&gt;"",IF(COUNTIF($A16:$A$210,A16)=1,1,""),"")</f>
        <v>1</v>
      </c>
    </row>
    <row r="17" ht="31.5" spans="1:8">
      <c r="A17" s="289" t="s">
        <v>36</v>
      </c>
      <c r="B17" s="289">
        <v>600</v>
      </c>
      <c r="C17" s="264" t="s">
        <v>16</v>
      </c>
      <c r="E17" s="265" t="s">
        <v>225</v>
      </c>
      <c r="F17" s="290" t="str" cm="1">
        <f t="array" ref="F17">IFERROR(INDEX(交易历史!C:C,MATCH(1,(交易历史!A:A=A17)*(交易历史!E:E="四轮交易"),0)),IFERROR(INDEX(交易历史!C:C,MATCH(1,(交易历史!A:A=A17)*(交易历史!E:E="三轮交易"),0)),IFERROR(INDEX(交易历史!C:C,MATCH(1,(交易历史!A:A=A17)*(交易历史!E:E="二轮交易"),0)),IFERROR(INDEX(交易历史!C:C,MATCH(1,(交易历史!A:A=A17)*(交易历史!E:E="首轮交易"),0)),""))))</f>
        <v>【TV】Team Vitality</v>
      </c>
      <c r="G17" s="291">
        <f>IF(A17&lt;&gt;"",_xlfn.MAXIFS($B$12:$B$210,$A$12:$A$210,A17),"")</f>
        <v>600</v>
      </c>
      <c r="H17" s="267">
        <f>IF(A17&lt;&gt;"",IF(COUNTIF($A17:$A$210,A17)=1,1,""),"")</f>
        <v>1</v>
      </c>
    </row>
    <row r="18" ht="31.5" spans="1:8">
      <c r="A18" s="289" t="s">
        <v>38</v>
      </c>
      <c r="B18" s="289">
        <v>100</v>
      </c>
      <c r="C18" s="264" t="s">
        <v>20</v>
      </c>
      <c r="E18" s="265" t="s">
        <v>225</v>
      </c>
      <c r="F18" s="290" t="str" cm="1">
        <f t="array" ref="F18">IFERROR(INDEX(交易历史!C:C,MATCH(1,(交易历史!A:A=A18)*(交易历史!E:E="四轮交易"),0)),IFERROR(INDEX(交易历史!C:C,MATCH(1,(交易历史!A:A=A18)*(交易历史!E:E="三轮交易"),0)),IFERROR(INDEX(交易历史!C:C,MATCH(1,(交易历史!A:A=A18)*(交易历史!E:E="二轮交易"),0)),IFERROR(INDEX(交易历史!C:C,MATCH(1,(交易历史!A:A=A18)*(交易历史!E:E="首轮交易"),0)),""))))</f>
        <v>【NikoFC】NikoCN Fanclub</v>
      </c>
      <c r="G18" s="291">
        <f>IF(A18&lt;&gt;"",_xlfn.MAXIFS($B$12:$B$210,$A$12:$A$210,A18),"")</f>
        <v>100</v>
      </c>
      <c r="H18" s="267">
        <f>IF(A18&lt;&gt;"",IF(COUNTIF($A18:$A$210,A18)=1,1,""),"")</f>
        <v>1</v>
      </c>
    </row>
    <row r="19" ht="31.5" spans="1:8">
      <c r="A19" s="289" t="s">
        <v>40</v>
      </c>
      <c r="B19" s="289">
        <v>80</v>
      </c>
      <c r="C19" s="264" t="s">
        <v>18</v>
      </c>
      <c r="E19" s="265" t="s">
        <v>225</v>
      </c>
      <c r="F19" s="290" t="str" cm="1">
        <f t="array" ref="F19">IFERROR(INDEX(交易历史!C:C,MATCH(1,(交易历史!A:A=A19)*(交易历史!E:E="四轮交易"),0)),IFERROR(INDEX(交易历史!C:C,MATCH(1,(交易历史!A:A=A19)*(交易历史!E:E="三轮交易"),0)),IFERROR(INDEX(交易历史!C:C,MATCH(1,(交易历史!A:A=A19)*(交易历史!E:E="二轮交易"),0)),IFERROR(INDEX(交易历史!C:C,MATCH(1,(交易历史!A:A=A19)*(交易历史!E:E="首轮交易"),0)),""))))</f>
        <v>【Miniworld】迷你世界</v>
      </c>
      <c r="G19" s="291">
        <f>IF(A19&lt;&gt;"",_xlfn.MAXIFS($B$12:$B$210,$A$12:$A$210,A19),"")</f>
        <v>80</v>
      </c>
      <c r="H19" s="267">
        <f>IF(A19&lt;&gt;"",IF(COUNTIF($A19:$A$210,A19)=1,1,""),"")</f>
        <v>1</v>
      </c>
    </row>
    <row r="20" ht="31.5" spans="1:8">
      <c r="A20" s="289" t="s">
        <v>42</v>
      </c>
      <c r="B20" s="289">
        <v>10</v>
      </c>
      <c r="C20" s="264" t="s">
        <v>16</v>
      </c>
      <c r="E20" s="265" t="s">
        <v>225</v>
      </c>
      <c r="F20" s="290" t="str" cm="1">
        <f t="array" ref="F20">IFERROR(INDEX(交易历史!C:C,MATCH(1,(交易历史!A:A=A20)*(交易历史!E:E="四轮交易"),0)),IFERROR(INDEX(交易历史!C:C,MATCH(1,(交易历史!A:A=A20)*(交易历史!E:E="三轮交易"),0)),IFERROR(INDEX(交易历史!C:C,MATCH(1,(交易历史!A:A=A20)*(交易历史!E:E="二轮交易"),0)),IFERROR(INDEX(交易历史!C:C,MATCH(1,(交易历史!A:A=A20)*(交易历史!E:E="首轮交易"),0)),""))))</f>
        <v>【TV】Team Vitality</v>
      </c>
      <c r="G20" s="291">
        <f>IF(A20&lt;&gt;"",_xlfn.MAXIFS($B$12:$B$210,$A$12:$A$210,A20),"")</f>
        <v>10</v>
      </c>
      <c r="H20" s="267">
        <f>IF(A20&lt;&gt;"",IF(COUNTIF($A20:$A$210,A20)=1,1,""),"")</f>
        <v>1</v>
      </c>
    </row>
    <row r="21" ht="31.5" spans="1:8">
      <c r="A21" s="289" t="s">
        <v>43</v>
      </c>
      <c r="B21" s="289">
        <v>0</v>
      </c>
      <c r="C21" s="264" t="s">
        <v>6</v>
      </c>
      <c r="E21" s="265" t="s">
        <v>225</v>
      </c>
      <c r="F21" s="290" t="str" cm="1">
        <f t="array" ref="F21">IFERROR(INDEX(交易历史!C:C,MATCH(1,(交易历史!A:A=A21)*(交易历史!E:E="四轮交易"),0)),IFERROR(INDEX(交易历史!C:C,MATCH(1,(交易历史!A:A=A21)*(交易历史!E:E="三轮交易"),0)),IFERROR(INDEX(交易历史!C:C,MATCH(1,(交易历史!A:A=A21)*(交易历史!E:E="二轮交易"),0)),IFERROR(INDEX(交易历史!C:C,MATCH(1,(交易历史!A:A=A21)*(交易历史!E:E="首轮交易"),0)),""))))</f>
        <v>【CbHz】吃饱喝足就是玩</v>
      </c>
      <c r="G21" s="291">
        <f>IF(A21&lt;&gt;"",_xlfn.MAXIFS($B$12:$B$210,$A$12:$A$210,A21),"")</f>
        <v>0</v>
      </c>
      <c r="H21" s="267">
        <f>IF(A21&lt;&gt;"",IF(COUNTIF($A21:$A$210,A21)=1,1,""),"")</f>
        <v>1</v>
      </c>
    </row>
    <row r="22" ht="31.5" spans="1:8">
      <c r="A22" s="289" t="s">
        <v>45</v>
      </c>
      <c r="B22" s="289">
        <v>20</v>
      </c>
      <c r="C22" s="264" t="s">
        <v>16</v>
      </c>
      <c r="E22" s="265" t="s">
        <v>225</v>
      </c>
      <c r="F22" s="290" t="str" cm="1">
        <f t="array" ref="F22">IFERROR(INDEX(交易历史!C:C,MATCH(1,(交易历史!A:A=A22)*(交易历史!E:E="四轮交易"),0)),IFERROR(INDEX(交易历史!C:C,MATCH(1,(交易历史!A:A=A22)*(交易历史!E:E="三轮交易"),0)),IFERROR(INDEX(交易历史!C:C,MATCH(1,(交易历史!A:A=A22)*(交易历史!E:E="二轮交易"),0)),IFERROR(INDEX(交易历史!C:C,MATCH(1,(交易历史!A:A=A22)*(交易历史!E:E="首轮交易"),0)),""))))</f>
        <v>【TV】Team Vitality</v>
      </c>
      <c r="G22" s="291">
        <f>IF(A22&lt;&gt;"",_xlfn.MAXIFS($B$12:$B$210,$A$12:$A$210,A22),"")</f>
        <v>20</v>
      </c>
      <c r="H22" s="267">
        <f>IF(A22&lt;&gt;"",IF(COUNTIF($A22:$A$210,A22)=1,1,""),"")</f>
        <v>1</v>
      </c>
    </row>
    <row r="23" ht="31.5" spans="1:8">
      <c r="A23" s="289" t="s">
        <v>46</v>
      </c>
      <c r="B23" s="289">
        <v>10</v>
      </c>
      <c r="C23" s="264" t="s">
        <v>8</v>
      </c>
      <c r="E23" s="265" t="s">
        <v>225</v>
      </c>
      <c r="F23" s="290" t="str" cm="1">
        <f t="array" ref="F23">IFERROR(INDEX(交易历史!C:C,MATCH(1,(交易历史!A:A=A23)*(交易历史!E:E="四轮交易"),0)),IFERROR(INDEX(交易历史!C:C,MATCH(1,(交易历史!A:A=A23)*(交易历史!E:E="三轮交易"),0)),IFERROR(INDEX(交易历史!C:C,MATCH(1,(交易历史!A:A=A23)*(交易历史!E:E="二轮交易"),0)),IFERROR(INDEX(交易历史!C:C,MATCH(1,(交易历史!A:A=A23)*(交易历史!E:E="首轮交易"),0)),""))))</f>
        <v>【SSR】Superior Super Rare</v>
      </c>
      <c r="G23" s="291">
        <f>IF(A23&lt;&gt;"",_xlfn.MAXIFS($B$12:$B$210,$A$12:$A$210,A23),"")</f>
        <v>10</v>
      </c>
      <c r="H23" s="267">
        <f>IF(A23&lt;&gt;"",IF(COUNTIF($A23:$A$210,A23)=1,1,""),"")</f>
        <v>1</v>
      </c>
    </row>
    <row r="24" ht="31.5" spans="1:8">
      <c r="A24" s="289" t="s">
        <v>48</v>
      </c>
      <c r="B24" s="289">
        <v>660</v>
      </c>
      <c r="C24" s="264" t="s">
        <v>6</v>
      </c>
      <c r="E24" s="265" t="s">
        <v>225</v>
      </c>
      <c r="F24" s="290" t="str" cm="1">
        <f t="array" ref="F24">IFERROR(INDEX(交易历史!C:C,MATCH(1,(交易历史!A:A=A24)*(交易历史!E:E="四轮交易"),0)),IFERROR(INDEX(交易历史!C:C,MATCH(1,(交易历史!A:A=A24)*(交易历史!E:E="三轮交易"),0)),IFERROR(INDEX(交易历史!C:C,MATCH(1,(交易历史!A:A=A24)*(交易历史!E:E="二轮交易"),0)),IFERROR(INDEX(交易历史!C:C,MATCH(1,(交易历史!A:A=A24)*(交易历史!E:E="首轮交易"),0)),""))))</f>
        <v>【CbHz】吃饱喝足就是玩</v>
      </c>
      <c r="G24" s="291">
        <f>IF(A24&lt;&gt;"",_xlfn.MAXIFS($B$12:$B$210,$A$12:$A$210,A24),"")</f>
        <v>660</v>
      </c>
      <c r="H24" s="267">
        <f>IF(A24&lt;&gt;"",IF(COUNTIF($A24:$A$210,A24)=1,1,""),"")</f>
        <v>1</v>
      </c>
    </row>
    <row r="25" ht="31.5" spans="1:8">
      <c r="A25" s="289" t="s">
        <v>50</v>
      </c>
      <c r="B25" s="289">
        <v>540</v>
      </c>
      <c r="C25" s="264" t="s">
        <v>20</v>
      </c>
      <c r="E25" s="265" t="s">
        <v>225</v>
      </c>
      <c r="F25" s="290" t="str" cm="1">
        <f t="array" ref="F25">IFERROR(INDEX(交易历史!C:C,MATCH(1,(交易历史!A:A=A25)*(交易历史!E:E="四轮交易"),0)),IFERROR(INDEX(交易历史!C:C,MATCH(1,(交易历史!A:A=A25)*(交易历史!E:E="三轮交易"),0)),IFERROR(INDEX(交易历史!C:C,MATCH(1,(交易历史!A:A=A25)*(交易历史!E:E="二轮交易"),0)),IFERROR(INDEX(交易历史!C:C,MATCH(1,(交易历史!A:A=A25)*(交易历史!E:E="首轮交易"),0)),""))))</f>
        <v>【NikoFC】NikoCN Fanclub</v>
      </c>
      <c r="G25" s="291">
        <f>IF(A25&lt;&gt;"",_xlfn.MAXIFS($B$12:$B$210,$A$12:$A$210,A25),"")</f>
        <v>540</v>
      </c>
      <c r="H25" s="267">
        <f>IF(A25&lt;&gt;"",IF(COUNTIF($A25:$A$210,A25)=1,1,""),"")</f>
        <v>1</v>
      </c>
    </row>
    <row r="26" ht="31.5" spans="1:8">
      <c r="A26" s="289" t="s">
        <v>52</v>
      </c>
      <c r="B26" s="289">
        <v>1000</v>
      </c>
      <c r="C26" s="264" t="s">
        <v>14</v>
      </c>
      <c r="E26" s="265" t="s">
        <v>225</v>
      </c>
      <c r="F26" s="290" t="str" cm="1">
        <f t="array" ref="F26">IFERROR(INDEX(交易历史!C:C,MATCH(1,(交易历史!A:A=A26)*(交易历史!E:E="四轮交易"),0)),IFERROR(INDEX(交易历史!C:C,MATCH(1,(交易历史!A:A=A26)*(交易历史!E:E="三轮交易"),0)),IFERROR(INDEX(交易历史!C:C,MATCH(1,(交易历史!A:A=A26)*(交易历史!E:E="二轮交易"),0)),IFERROR(INDEX(交易历史!C:C,MATCH(1,(交易历史!A:A=A26)*(交易历史!E:E="首轮交易"),0)),""))))</f>
        <v>【G2】G2‭</v>
      </c>
      <c r="G26" s="291">
        <f>IF(A26&lt;&gt;"",_xlfn.MAXIFS($B$12:$B$210,$A$12:$A$210,A26),"")</f>
        <v>1000</v>
      </c>
      <c r="H26" s="267">
        <f>IF(A26&lt;&gt;"",IF(COUNTIF($A26:$A$210,A26)=1,1,""),"")</f>
        <v>1</v>
      </c>
    </row>
    <row r="27" ht="31.5" spans="1:8">
      <c r="A27" s="289" t="s">
        <v>54</v>
      </c>
      <c r="B27" s="289">
        <v>350</v>
      </c>
      <c r="C27" s="264" t="s">
        <v>18</v>
      </c>
      <c r="E27" s="265" t="s">
        <v>225</v>
      </c>
      <c r="F27" s="290" t="str" cm="1">
        <f t="array" ref="F27">IFERROR(INDEX(交易历史!C:C,MATCH(1,(交易历史!A:A=A27)*(交易历史!E:E="四轮交易"),0)),IFERROR(INDEX(交易历史!C:C,MATCH(1,(交易历史!A:A=A27)*(交易历史!E:E="三轮交易"),0)),IFERROR(INDEX(交易历史!C:C,MATCH(1,(交易历史!A:A=A27)*(交易历史!E:E="二轮交易"),0)),IFERROR(INDEX(交易历史!C:C,MATCH(1,(交易历史!A:A=A27)*(交易历史!E:E="首轮交易"),0)),""))))</f>
        <v>【Miniworld】迷你世界</v>
      </c>
      <c r="G27" s="291">
        <f>IF(A27&lt;&gt;"",_xlfn.MAXIFS($B$12:$B$210,$A$12:$A$210,A27),"")</f>
        <v>350</v>
      </c>
      <c r="H27" s="267">
        <f>IF(A27&lt;&gt;"",IF(COUNTIF($A27:$A$210,A27)=1,1,""),"")</f>
        <v>1</v>
      </c>
    </row>
    <row r="28" ht="31.5" spans="1:8">
      <c r="A28" s="289" t="s">
        <v>55</v>
      </c>
      <c r="B28" s="289">
        <v>20</v>
      </c>
      <c r="C28" s="264" t="s">
        <v>18</v>
      </c>
      <c r="E28" s="265" t="s">
        <v>225</v>
      </c>
      <c r="F28" s="290" t="str" cm="1">
        <f t="array" ref="F28">IFERROR(INDEX(交易历史!C:C,MATCH(1,(交易历史!A:A=A28)*(交易历史!E:E="四轮交易"),0)),IFERROR(INDEX(交易历史!C:C,MATCH(1,(交易历史!A:A=A28)*(交易历史!E:E="三轮交易"),0)),IFERROR(INDEX(交易历史!C:C,MATCH(1,(交易历史!A:A=A28)*(交易历史!E:E="二轮交易"),0)),IFERROR(INDEX(交易历史!C:C,MATCH(1,(交易历史!A:A=A28)*(交易历史!E:E="首轮交易"),0)),""))))</f>
        <v>【Miniworld】迷你世界</v>
      </c>
      <c r="G28" s="291">
        <f>IF(A28&lt;&gt;"",_xlfn.MAXIFS($B$12:$B$210,$A$12:$A$210,A28),"")</f>
        <v>20</v>
      </c>
      <c r="H28" s="267">
        <f>IF(A28&lt;&gt;"",IF(COUNTIF($A28:$A$210,A28)=1,1,""),"")</f>
        <v>1</v>
      </c>
    </row>
    <row r="29" ht="31.5" spans="1:8">
      <c r="A29" s="289" t="s">
        <v>57</v>
      </c>
      <c r="B29" s="289">
        <v>0</v>
      </c>
      <c r="C29" s="264" t="s">
        <v>6</v>
      </c>
      <c r="E29" s="265" t="s">
        <v>225</v>
      </c>
      <c r="F29" s="290" t="str" cm="1">
        <f t="array" ref="F29">IFERROR(INDEX(交易历史!C:C,MATCH(1,(交易历史!A:A=A29)*(交易历史!E:E="四轮交易"),0)),IFERROR(INDEX(交易历史!C:C,MATCH(1,(交易历史!A:A=A29)*(交易历史!E:E="三轮交易"),0)),IFERROR(INDEX(交易历史!C:C,MATCH(1,(交易历史!A:A=A29)*(交易历史!E:E="二轮交易"),0)),IFERROR(INDEX(交易历史!C:C,MATCH(1,(交易历史!A:A=A29)*(交易历史!E:E="首轮交易"),0)),""))))</f>
        <v>【CbHz】吃饱喝足就是玩</v>
      </c>
      <c r="G29" s="291">
        <f>IF(A29&lt;&gt;"",_xlfn.MAXIFS($B$12:$B$210,$A$12:$A$210,A29),"")</f>
        <v>0</v>
      </c>
      <c r="H29" s="267">
        <f>IF(A29&lt;&gt;"",IF(COUNTIF($A29:$A$210,A29)=1,1,""),"")</f>
        <v>1</v>
      </c>
    </row>
    <row r="30" ht="31.5" spans="1:8">
      <c r="A30" s="289" t="s">
        <v>59</v>
      </c>
      <c r="B30" s="289">
        <v>200</v>
      </c>
      <c r="C30" s="264" t="s">
        <v>8</v>
      </c>
      <c r="E30" s="265" t="s">
        <v>225</v>
      </c>
      <c r="F30" s="290" t="str" cm="1">
        <f t="array" ref="F30">IFERROR(INDEX(交易历史!C:C,MATCH(1,(交易历史!A:A=A30)*(交易历史!E:E="四轮交易"),0)),IFERROR(INDEX(交易历史!C:C,MATCH(1,(交易历史!A:A=A30)*(交易历史!E:E="三轮交易"),0)),IFERROR(INDEX(交易历史!C:C,MATCH(1,(交易历史!A:A=A30)*(交易历史!E:E="二轮交易"),0)),IFERROR(INDEX(交易历史!C:C,MATCH(1,(交易历史!A:A=A30)*(交易历史!E:E="首轮交易"),0)),""))))</f>
        <v>【SSR】Superior Super Rare</v>
      </c>
      <c r="G30" s="291">
        <f>IF(A30&lt;&gt;"",_xlfn.MAXIFS($B$12:$B$210,$A$12:$A$210,A30),"")</f>
        <v>200</v>
      </c>
      <c r="H30" s="267">
        <f>IF(A30&lt;&gt;"",IF(COUNTIF($A30:$A$210,A30)=1,1,""),"")</f>
        <v>1</v>
      </c>
    </row>
    <row r="31" ht="31.5" spans="1:8">
      <c r="A31" s="289" t="s">
        <v>61</v>
      </c>
      <c r="B31" s="289">
        <v>40</v>
      </c>
      <c r="C31" s="264" t="s">
        <v>18</v>
      </c>
      <c r="E31" s="265" t="s">
        <v>225</v>
      </c>
      <c r="F31" s="290" t="str" cm="1">
        <f t="array" ref="F31">IFERROR(INDEX(交易历史!C:C,MATCH(1,(交易历史!A:A=A31)*(交易历史!E:E="四轮交易"),0)),IFERROR(INDEX(交易历史!C:C,MATCH(1,(交易历史!A:A=A31)*(交易历史!E:E="三轮交易"),0)),IFERROR(INDEX(交易历史!C:C,MATCH(1,(交易历史!A:A=A31)*(交易历史!E:E="二轮交易"),0)),IFERROR(INDEX(交易历史!C:C,MATCH(1,(交易历史!A:A=A31)*(交易历史!E:E="首轮交易"),0)),""))))</f>
        <v>【Miniworld】迷你世界</v>
      </c>
      <c r="G31" s="291">
        <f>IF(A31&lt;&gt;"",_xlfn.MAXIFS($B$12:$B$210,$A$12:$A$210,A31),"")</f>
        <v>40</v>
      </c>
      <c r="H31" s="267">
        <f>IF(A31&lt;&gt;"",IF(COUNTIF($A31:$A$210,A31)=1,1,""),"")</f>
        <v>1</v>
      </c>
    </row>
    <row r="32" ht="31.5" spans="1:8">
      <c r="A32" s="289" t="s">
        <v>63</v>
      </c>
      <c r="B32" s="289">
        <v>10</v>
      </c>
      <c r="C32" s="264" t="s">
        <v>8</v>
      </c>
      <c r="E32" s="265" t="s">
        <v>225</v>
      </c>
      <c r="F32" s="290" t="str" cm="1">
        <f t="array" ref="F32">IFERROR(INDEX(交易历史!C:C,MATCH(1,(交易历史!A:A=A32)*(交易历史!E:E="四轮交易"),0)),IFERROR(INDEX(交易历史!C:C,MATCH(1,(交易历史!A:A=A32)*(交易历史!E:E="三轮交易"),0)),IFERROR(INDEX(交易历史!C:C,MATCH(1,(交易历史!A:A=A32)*(交易历史!E:E="二轮交易"),0)),IFERROR(INDEX(交易历史!C:C,MATCH(1,(交易历史!A:A=A32)*(交易历史!E:E="首轮交易"),0)),""))))</f>
        <v>【SSR】Superior Super Rare</v>
      </c>
      <c r="G32" s="291">
        <f>IF(A32&lt;&gt;"",_xlfn.MAXIFS($B$12:$B$210,$A$12:$A$210,A32),"")</f>
        <v>10</v>
      </c>
      <c r="H32" s="267">
        <f>IF(A32&lt;&gt;"",IF(COUNTIF($A32:$A$210,A32)=1,1,""),"")</f>
        <v>1</v>
      </c>
    </row>
    <row r="33" ht="31.5" spans="1:8">
      <c r="A33" s="289" t="s">
        <v>65</v>
      </c>
      <c r="B33" s="289">
        <v>20</v>
      </c>
      <c r="C33" s="264" t="s">
        <v>16</v>
      </c>
      <c r="E33" s="265" t="s">
        <v>225</v>
      </c>
      <c r="F33" s="290" t="str" cm="1">
        <f t="array" ref="F33">IFERROR(INDEX(交易历史!C:C,MATCH(1,(交易历史!A:A=A33)*(交易历史!E:E="四轮交易"),0)),IFERROR(INDEX(交易历史!C:C,MATCH(1,(交易历史!A:A=A33)*(交易历史!E:E="三轮交易"),0)),IFERROR(INDEX(交易历史!C:C,MATCH(1,(交易历史!A:A=A33)*(交易历史!E:E="二轮交易"),0)),IFERROR(INDEX(交易历史!C:C,MATCH(1,(交易历史!A:A=A33)*(交易历史!E:E="首轮交易"),0)),""))))</f>
        <v>【TV】Team Vitality</v>
      </c>
      <c r="G33" s="291">
        <f>IF(A33&lt;&gt;"",_xlfn.MAXIFS($B$12:$B$210,$A$12:$A$210,A33),"")</f>
        <v>20</v>
      </c>
      <c r="H33" s="267">
        <f>IF(A33&lt;&gt;"",IF(COUNTIF($A33:$A$210,A33)=1,1,""),"")</f>
        <v>1</v>
      </c>
    </row>
    <row r="34" ht="31.5" spans="1:8">
      <c r="A34" s="289" t="s">
        <v>67</v>
      </c>
      <c r="B34" s="289">
        <v>50</v>
      </c>
      <c r="C34" s="264" t="s">
        <v>20</v>
      </c>
      <c r="E34" s="265" t="s">
        <v>225</v>
      </c>
      <c r="F34" s="290" t="str" cm="1">
        <f t="array" ref="F34">IFERROR(INDEX(交易历史!C:C,MATCH(1,(交易历史!A:A=A34)*(交易历史!E:E="四轮交易"),0)),IFERROR(INDEX(交易历史!C:C,MATCH(1,(交易历史!A:A=A34)*(交易历史!E:E="三轮交易"),0)),IFERROR(INDEX(交易历史!C:C,MATCH(1,(交易历史!A:A=A34)*(交易历史!E:E="二轮交易"),0)),IFERROR(INDEX(交易历史!C:C,MATCH(1,(交易历史!A:A=A34)*(交易历史!E:E="首轮交易"),0)),""))))</f>
        <v>【NikoFC】NikoCN Fanclub</v>
      </c>
      <c r="G34" s="291">
        <f>IF(A34&lt;&gt;"",_xlfn.MAXIFS($B$12:$B$210,$A$12:$A$210,A34),"")</f>
        <v>50</v>
      </c>
      <c r="H34" s="267">
        <f>IF(A34&lt;&gt;"",IF(COUNTIF($A34:$A$210,A34)=1,1,""),"")</f>
        <v>1</v>
      </c>
    </row>
    <row r="35" ht="31.5" spans="1:8">
      <c r="A35" s="289" t="s">
        <v>68</v>
      </c>
      <c r="B35" s="289">
        <v>0</v>
      </c>
      <c r="C35" s="264" t="s">
        <v>6</v>
      </c>
      <c r="E35" s="265" t="s">
        <v>225</v>
      </c>
      <c r="F35" s="290" t="str" cm="1">
        <f t="array" ref="F35">IFERROR(INDEX(交易历史!C:C,MATCH(1,(交易历史!A:A=A35)*(交易历史!E:E="四轮交易"),0)),IFERROR(INDEX(交易历史!C:C,MATCH(1,(交易历史!A:A=A35)*(交易历史!E:E="三轮交易"),0)),IFERROR(INDEX(交易历史!C:C,MATCH(1,(交易历史!A:A=A35)*(交易历史!E:E="二轮交易"),0)),IFERROR(INDEX(交易历史!C:C,MATCH(1,(交易历史!A:A=A35)*(交易历史!E:E="首轮交易"),0)),""))))</f>
        <v>【CbHz】吃饱喝足就是玩</v>
      </c>
      <c r="G35" s="291">
        <f>IF(A35&lt;&gt;"",_xlfn.MAXIFS($B$12:$B$210,$A$12:$A$210,A35),"")</f>
        <v>0</v>
      </c>
      <c r="H35" s="267">
        <f>IF(A35&lt;&gt;"",IF(COUNTIF($A35:$A$210,A35)=1,1,""),"")</f>
        <v>1</v>
      </c>
    </row>
    <row r="36" ht="31.5" spans="1:8">
      <c r="A36" s="289" t="s">
        <v>70</v>
      </c>
      <c r="B36" s="289">
        <v>0</v>
      </c>
      <c r="C36" s="264" t="s">
        <v>14</v>
      </c>
      <c r="E36" s="265" t="s">
        <v>225</v>
      </c>
      <c r="F36" s="290" t="str" cm="1">
        <f t="array" ref="F36">IFERROR(INDEX(交易历史!C:C,MATCH(1,(交易历史!A:A=A36)*(交易历史!E:E="四轮交易"),0)),IFERROR(INDEX(交易历史!C:C,MATCH(1,(交易历史!A:A=A36)*(交易历史!E:E="三轮交易"),0)),IFERROR(INDEX(交易历史!C:C,MATCH(1,(交易历史!A:A=A36)*(交易历史!E:E="二轮交易"),0)),IFERROR(INDEX(交易历史!C:C,MATCH(1,(交易历史!A:A=A36)*(交易历史!E:E="首轮交易"),0)),""))))</f>
        <v>【G2】G2‭</v>
      </c>
      <c r="G36" s="291">
        <f>IF(A36&lt;&gt;"",_xlfn.MAXIFS($B$12:$B$210,$A$12:$A$210,A36),"")</f>
        <v>0</v>
      </c>
      <c r="H36" s="267">
        <f>IF(A36&lt;&gt;"",IF(COUNTIF($A36:$A$210,A36)=1,1,""),"")</f>
        <v>1</v>
      </c>
    </row>
    <row r="37" ht="31.5" spans="1:8">
      <c r="A37" s="289" t="s">
        <v>71</v>
      </c>
      <c r="B37" s="289">
        <v>60</v>
      </c>
      <c r="C37" s="264" t="s">
        <v>16</v>
      </c>
      <c r="E37" s="265" t="s">
        <v>225</v>
      </c>
      <c r="F37" s="290" t="str" cm="1">
        <f t="array" ref="F37">IFERROR(INDEX(交易历史!C:C,MATCH(1,(交易历史!A:A=A37)*(交易历史!E:E="四轮交易"),0)),IFERROR(INDEX(交易历史!C:C,MATCH(1,(交易历史!A:A=A37)*(交易历史!E:E="三轮交易"),0)),IFERROR(INDEX(交易历史!C:C,MATCH(1,(交易历史!A:A=A37)*(交易历史!E:E="二轮交易"),0)),IFERROR(INDEX(交易历史!C:C,MATCH(1,(交易历史!A:A=A37)*(交易历史!E:E="首轮交易"),0)),""))))</f>
        <v>【TV】Team Vitality</v>
      </c>
      <c r="G37" s="291">
        <f>IF(A37&lt;&gt;"",_xlfn.MAXIFS($B$12:$B$210,$A$12:$A$210,A37),"")</f>
        <v>60</v>
      </c>
      <c r="H37" s="267">
        <f>IF(A37&lt;&gt;"",IF(COUNTIF($A37:$A$210,A37)=1,1,""),"")</f>
        <v>1</v>
      </c>
    </row>
    <row r="38" ht="63" spans="1:8">
      <c r="A38" s="293" t="s">
        <v>72</v>
      </c>
      <c r="B38" s="289">
        <v>20</v>
      </c>
      <c r="C38" s="264" t="s">
        <v>12</v>
      </c>
      <c r="E38" s="265" t="s">
        <v>225</v>
      </c>
      <c r="F38" s="290" t="str" cm="1">
        <f t="array" ref="F38">IFERROR(INDEX(交易历史!C:C,MATCH(1,(交易历史!A:A=A38)*(交易历史!E:E="四轮交易"),0)),IFERROR(INDEX(交易历史!C:C,MATCH(1,(交易历史!A:A=A38)*(交易历史!E:E="三轮交易"),0)),IFERROR(INDEX(交易历史!C:C,MATCH(1,(交易历史!A:A=A38)*(交易历史!E:E="二轮交易"),0)),IFERROR(INDEX(交易历史!C:C,MATCH(1,(交易历史!A:A=A38)*(交易历史!E:E="首轮交易"),0)),""))))</f>
        <v>【AWO】逃出生天</v>
      </c>
      <c r="G38" s="291">
        <f>IF(A38&lt;&gt;"",_xlfn.MAXIFS($B$12:$B$210,$A$12:$A$210,A38),"")</f>
        <v>20</v>
      </c>
      <c r="H38" s="267">
        <f>IF(A38&lt;&gt;"",IF(COUNTIF($A38:$A$210,A38)=1,1,""),"")</f>
        <v>1</v>
      </c>
    </row>
    <row r="39" ht="31.5" spans="1:8">
      <c r="A39" s="289" t="s">
        <v>74</v>
      </c>
      <c r="B39" s="289">
        <v>20</v>
      </c>
      <c r="C39" s="264" t="s">
        <v>18</v>
      </c>
      <c r="E39" s="265" t="s">
        <v>225</v>
      </c>
      <c r="F39" s="290" t="str" cm="1">
        <f t="array" ref="F39">IFERROR(INDEX(交易历史!C:C,MATCH(1,(交易历史!A:A=A39)*(交易历史!E:E="四轮交易"),0)),IFERROR(INDEX(交易历史!C:C,MATCH(1,(交易历史!A:A=A39)*(交易历史!E:E="三轮交易"),0)),IFERROR(INDEX(交易历史!C:C,MATCH(1,(交易历史!A:A=A39)*(交易历史!E:E="二轮交易"),0)),IFERROR(INDEX(交易历史!C:C,MATCH(1,(交易历史!A:A=A39)*(交易历史!E:E="首轮交易"),0)),""))))</f>
        <v>【Miniworld】迷你世界</v>
      </c>
      <c r="G39" s="291">
        <f>IF(A39&lt;&gt;"",_xlfn.MAXIFS($B$12:$B$210,$A$12:$A$210,A39),"")</f>
        <v>20</v>
      </c>
      <c r="H39" s="267">
        <f>IF(A39&lt;&gt;"",IF(COUNTIF($A39:$A$210,A39)=1,1,""),"")</f>
        <v>1</v>
      </c>
    </row>
    <row r="40" ht="31.5" spans="1:8">
      <c r="A40" s="289" t="s">
        <v>75</v>
      </c>
      <c r="B40" s="289">
        <v>350</v>
      </c>
      <c r="C40" s="264" t="s">
        <v>14</v>
      </c>
      <c r="E40" s="265" t="s">
        <v>225</v>
      </c>
      <c r="F40" s="290" t="str" cm="1">
        <f t="array" ref="F40">IFERROR(INDEX(交易历史!C:C,MATCH(1,(交易历史!A:A=A40)*(交易历史!E:E="四轮交易"),0)),IFERROR(INDEX(交易历史!C:C,MATCH(1,(交易历史!A:A=A40)*(交易历史!E:E="三轮交易"),0)),IFERROR(INDEX(交易历史!C:C,MATCH(1,(交易历史!A:A=A40)*(交易历史!E:E="二轮交易"),0)),IFERROR(INDEX(交易历史!C:C,MATCH(1,(交易历史!A:A=A40)*(交易历史!E:E="首轮交易"),0)),""))))</f>
        <v>【G2】G2‭</v>
      </c>
      <c r="G40" s="291">
        <f>IF(A40&lt;&gt;"",_xlfn.MAXIFS($B$12:$B$210,$A$12:$A$210,A40),"")</f>
        <v>350</v>
      </c>
      <c r="H40" s="267">
        <f>IF(A40&lt;&gt;"",IF(COUNTIF($A40:$A$210,A40)=1,1,""),"")</f>
        <v>1</v>
      </c>
    </row>
    <row r="41" ht="31.5" spans="1:8">
      <c r="A41" s="289" t="s">
        <v>76</v>
      </c>
      <c r="B41" s="289">
        <v>360</v>
      </c>
      <c r="C41" s="264" t="s">
        <v>10</v>
      </c>
      <c r="E41" s="265" t="s">
        <v>225</v>
      </c>
      <c r="F41" s="290" t="str" cm="1">
        <f t="array" ref="F41">IFERROR(INDEX(交易历史!C:C,MATCH(1,(交易历史!A:A=A41)*(交易历史!E:E="四轮交易"),0)),IFERROR(INDEX(交易历史!C:C,MATCH(1,(交易历史!A:A=A41)*(交易历史!E:E="三轮交易"),0)),IFERROR(INDEX(交易历史!C:C,MATCH(1,(交易历史!A:A=A41)*(交易历史!E:E="二轮交易"),0)),IFERROR(INDEX(交易历史!C:C,MATCH(1,(交易历史!A:A=A41)*(交易历史!E:E="首轮交易"),0)),""))))</f>
        <v>【OldH】老H犟嘴</v>
      </c>
      <c r="G41" s="291">
        <f>IF(A41&lt;&gt;"",_xlfn.MAXIFS($B$12:$B$210,$A$12:$A$210,A41),"")</f>
        <v>360</v>
      </c>
      <c r="H41" s="267">
        <f>IF(A41&lt;&gt;"",IF(COUNTIF($A41:$A$210,A41)=1,1,""),"")</f>
        <v>1</v>
      </c>
    </row>
    <row r="42" ht="31.5" spans="1:8">
      <c r="A42" s="289" t="s">
        <v>78</v>
      </c>
      <c r="B42" s="289">
        <v>800</v>
      </c>
      <c r="C42" s="264" t="s">
        <v>6</v>
      </c>
      <c r="E42" s="265" t="s">
        <v>225</v>
      </c>
      <c r="F42" s="290" t="str" cm="1">
        <f t="array" ref="F42">IFERROR(INDEX(交易历史!C:C,MATCH(1,(交易历史!A:A=A42)*(交易历史!E:E="四轮交易"),0)),IFERROR(INDEX(交易历史!C:C,MATCH(1,(交易历史!A:A=A42)*(交易历史!E:E="三轮交易"),0)),IFERROR(INDEX(交易历史!C:C,MATCH(1,(交易历史!A:A=A42)*(交易历史!E:E="二轮交易"),0)),IFERROR(INDEX(交易历史!C:C,MATCH(1,(交易历史!A:A=A42)*(交易历史!E:E="首轮交易"),0)),""))))</f>
        <v>【CbHz】吃饱喝足就是玩</v>
      </c>
      <c r="G42" s="291">
        <f>IF(A42&lt;&gt;"",_xlfn.MAXIFS($B$12:$B$210,$A$12:$A$210,A42),"")</f>
        <v>800</v>
      </c>
      <c r="H42" s="267">
        <f>IF(A42&lt;&gt;"",IF(COUNTIF($A42:$A$210,A42)=1,1,""),"")</f>
        <v>1</v>
      </c>
    </row>
    <row r="43" ht="31.5" spans="1:8">
      <c r="A43" s="289" t="s">
        <v>80</v>
      </c>
      <c r="B43" s="289">
        <v>700</v>
      </c>
      <c r="C43" s="264" t="s">
        <v>8</v>
      </c>
      <c r="E43" s="265" t="s">
        <v>225</v>
      </c>
      <c r="F43" s="290" t="str" cm="1">
        <f t="array" ref="F43">IFERROR(INDEX(交易历史!C:C,MATCH(1,(交易历史!A:A=A43)*(交易历史!E:E="四轮交易"),0)),IFERROR(INDEX(交易历史!C:C,MATCH(1,(交易历史!A:A=A43)*(交易历史!E:E="三轮交易"),0)),IFERROR(INDEX(交易历史!C:C,MATCH(1,(交易历史!A:A=A43)*(交易历史!E:E="二轮交易"),0)),IFERROR(INDEX(交易历史!C:C,MATCH(1,(交易历史!A:A=A43)*(交易历史!E:E="首轮交易"),0)),""))))</f>
        <v>【SSR】Superior Super Rare</v>
      </c>
      <c r="G43" s="291">
        <f>IF(A43&lt;&gt;"",_xlfn.MAXIFS($B$12:$B$210,$A$12:$A$210,A43),"")</f>
        <v>700</v>
      </c>
      <c r="H43" s="267">
        <f>IF(A43&lt;&gt;"",IF(COUNTIF($A43:$A$210,A43)=1,1,""),"")</f>
        <v>1</v>
      </c>
    </row>
    <row r="44" ht="31.5" spans="1:8">
      <c r="A44" s="289" t="s">
        <v>82</v>
      </c>
      <c r="B44" s="289">
        <v>100</v>
      </c>
      <c r="C44" s="264" t="s">
        <v>10</v>
      </c>
      <c r="E44" s="265" t="s">
        <v>225</v>
      </c>
      <c r="F44" s="290" t="str" cm="1">
        <f t="array" ref="F44">IFERROR(INDEX(交易历史!C:C,MATCH(1,(交易历史!A:A=A44)*(交易历史!E:E="四轮交易"),0)),IFERROR(INDEX(交易历史!C:C,MATCH(1,(交易历史!A:A=A44)*(交易历史!E:E="三轮交易"),0)),IFERROR(INDEX(交易历史!C:C,MATCH(1,(交易历史!A:A=A44)*(交易历史!E:E="二轮交易"),0)),IFERROR(INDEX(交易历史!C:C,MATCH(1,(交易历史!A:A=A44)*(交易历史!E:E="首轮交易"),0)),""))))</f>
        <v>【OldH】老H犟嘴</v>
      </c>
      <c r="G44" s="291">
        <f>IF(A44&lt;&gt;"",_xlfn.MAXIFS($B$12:$B$210,$A$12:$A$210,A44),"")</f>
        <v>100</v>
      </c>
      <c r="H44" s="267">
        <f>IF(A44&lt;&gt;"",IF(COUNTIF($A44:$A$210,A44)=1,1,""),"")</f>
        <v>1</v>
      </c>
    </row>
    <row r="45" ht="31.5" spans="1:8">
      <c r="A45" s="289" t="s">
        <v>84</v>
      </c>
      <c r="B45" s="289">
        <v>60</v>
      </c>
      <c r="C45" s="264" t="s">
        <v>18</v>
      </c>
      <c r="E45" s="265" t="s">
        <v>225</v>
      </c>
      <c r="F45" s="290" t="str" cm="1">
        <f t="array" ref="F45">IFERROR(INDEX(交易历史!C:C,MATCH(1,(交易历史!A:A=A45)*(交易历史!E:E="四轮交易"),0)),IFERROR(INDEX(交易历史!C:C,MATCH(1,(交易历史!A:A=A45)*(交易历史!E:E="三轮交易"),0)),IFERROR(INDEX(交易历史!C:C,MATCH(1,(交易历史!A:A=A45)*(交易历史!E:E="二轮交易"),0)),IFERROR(INDEX(交易历史!C:C,MATCH(1,(交易历史!A:A=A45)*(交易历史!E:E="首轮交易"),0)),""))))</f>
        <v>【Miniworld】迷你世界</v>
      </c>
      <c r="G45" s="291">
        <f>IF(A45&lt;&gt;"",_xlfn.MAXIFS($B$12:$B$210,$A$12:$A$210,A45),"")</f>
        <v>60</v>
      </c>
      <c r="H45" s="267">
        <f>IF(A45&lt;&gt;"",IF(COUNTIF($A45:$A$210,A45)=1,1,""),"")</f>
        <v>1</v>
      </c>
    </row>
    <row r="46" ht="31.5" spans="1:8">
      <c r="A46" s="289" t="s">
        <v>85</v>
      </c>
      <c r="B46" s="289">
        <v>30</v>
      </c>
      <c r="C46" s="264" t="s">
        <v>10</v>
      </c>
      <c r="E46" s="265" t="s">
        <v>225</v>
      </c>
      <c r="F46" s="290" t="str" cm="1">
        <f t="array" ref="F46">IFERROR(INDEX(交易历史!C:C,MATCH(1,(交易历史!A:A=A46)*(交易历史!E:E="四轮交易"),0)),IFERROR(INDEX(交易历史!C:C,MATCH(1,(交易历史!A:A=A46)*(交易历史!E:E="三轮交易"),0)),IFERROR(INDEX(交易历史!C:C,MATCH(1,(交易历史!A:A=A46)*(交易历史!E:E="二轮交易"),0)),IFERROR(INDEX(交易历史!C:C,MATCH(1,(交易历史!A:A=A46)*(交易历史!E:E="首轮交易"),0)),""))))</f>
        <v>【OldH】老H犟嘴</v>
      </c>
      <c r="G46" s="291">
        <f>IF(A46&lt;&gt;"",_xlfn.MAXIFS($B$12:$B$210,$A$12:$A$210,A46),"")</f>
        <v>30</v>
      </c>
      <c r="H46" s="267">
        <f>IF(A46&lt;&gt;"",IF(COUNTIF($A46:$A$210,A46)=1,1,""),"")</f>
        <v>1</v>
      </c>
    </row>
    <row r="47" ht="31.5" spans="1:8">
      <c r="A47" s="289" t="s">
        <v>87</v>
      </c>
      <c r="B47" s="289">
        <v>30</v>
      </c>
      <c r="C47" s="264" t="s">
        <v>18</v>
      </c>
      <c r="E47" s="265" t="s">
        <v>225</v>
      </c>
      <c r="F47" s="290" t="str" cm="1">
        <f t="array" ref="F47">IFERROR(INDEX(交易历史!C:C,MATCH(1,(交易历史!A:A=A47)*(交易历史!E:E="四轮交易"),0)),IFERROR(INDEX(交易历史!C:C,MATCH(1,(交易历史!A:A=A47)*(交易历史!E:E="三轮交易"),0)),IFERROR(INDEX(交易历史!C:C,MATCH(1,(交易历史!A:A=A47)*(交易历史!E:E="二轮交易"),0)),IFERROR(INDEX(交易历史!C:C,MATCH(1,(交易历史!A:A=A47)*(交易历史!E:E="首轮交易"),0)),""))))</f>
        <v>【Miniworld】迷你世界</v>
      </c>
      <c r="G47" s="291">
        <f>IF(A47&lt;&gt;"",_xlfn.MAXIFS($B$12:$B$210,$A$12:$A$210,A47),"")</f>
        <v>30</v>
      </c>
      <c r="H47" s="267">
        <f>IF(A47&lt;&gt;"",IF(COUNTIF($A47:$A$210,A47)=1,1,""),"")</f>
        <v>1</v>
      </c>
    </row>
    <row r="48" ht="31.5" spans="1:8">
      <c r="A48" s="289" t="s">
        <v>88</v>
      </c>
      <c r="B48" s="289">
        <v>30</v>
      </c>
      <c r="C48" s="264" t="s">
        <v>20</v>
      </c>
      <c r="E48" s="265" t="s">
        <v>225</v>
      </c>
      <c r="F48" s="290" t="str" cm="1">
        <f t="array" ref="F48">IFERROR(INDEX(交易历史!C:C,MATCH(1,(交易历史!A:A=A48)*(交易历史!E:E="四轮交易"),0)),IFERROR(INDEX(交易历史!C:C,MATCH(1,(交易历史!A:A=A48)*(交易历史!E:E="三轮交易"),0)),IFERROR(INDEX(交易历史!C:C,MATCH(1,(交易历史!A:A=A48)*(交易历史!E:E="二轮交易"),0)),IFERROR(INDEX(交易历史!C:C,MATCH(1,(交易历史!A:A=A48)*(交易历史!E:E="首轮交易"),0)),""))))</f>
        <v>【NikoFC】NikoCN Fanclub</v>
      </c>
      <c r="G48" s="291">
        <f>IF(A48&lt;&gt;"",_xlfn.MAXIFS($B$12:$B$210,$A$12:$A$210,A48),"")</f>
        <v>30</v>
      </c>
      <c r="H48" s="267">
        <f>IF(A48&lt;&gt;"",IF(COUNTIF($A48:$A$210,A48)=1,1,""),"")</f>
        <v>1</v>
      </c>
    </row>
    <row r="49" ht="31.5" spans="1:8">
      <c r="A49" s="289" t="s">
        <v>89</v>
      </c>
      <c r="B49" s="289">
        <v>10</v>
      </c>
      <c r="C49" s="264" t="s">
        <v>6</v>
      </c>
      <c r="E49" s="265" t="s">
        <v>225</v>
      </c>
      <c r="F49" s="290" t="str" cm="1">
        <f t="array" ref="F49">IFERROR(INDEX(交易历史!C:C,MATCH(1,(交易历史!A:A=A49)*(交易历史!E:E="四轮交易"),0)),IFERROR(INDEX(交易历史!C:C,MATCH(1,(交易历史!A:A=A49)*(交易历史!E:E="三轮交易"),0)),IFERROR(INDEX(交易历史!C:C,MATCH(1,(交易历史!A:A=A49)*(交易历史!E:E="二轮交易"),0)),IFERROR(INDEX(交易历史!C:C,MATCH(1,(交易历史!A:A=A49)*(交易历史!E:E="首轮交易"),0)),""))))</f>
        <v>【CbHz】吃饱喝足就是玩</v>
      </c>
      <c r="G49" s="291">
        <f>IF(A49&lt;&gt;"",_xlfn.MAXIFS($B$12:$B$210,$A$12:$A$210,A49),"")</f>
        <v>10</v>
      </c>
      <c r="H49" s="267">
        <f>IF(A49&lt;&gt;"",IF(COUNTIF($A49:$A$210,A49)=1,1,""),"")</f>
        <v>1</v>
      </c>
    </row>
    <row r="50" ht="31.5" spans="1:8">
      <c r="A50" s="289" t="s">
        <v>91</v>
      </c>
      <c r="B50" s="289">
        <v>510</v>
      </c>
      <c r="C50" s="264" t="s">
        <v>20</v>
      </c>
      <c r="E50" s="265" t="s">
        <v>225</v>
      </c>
      <c r="F50" s="290" t="str" cm="1">
        <f t="array" ref="F50">IFERROR(INDEX(交易历史!C:C,MATCH(1,(交易历史!A:A=A50)*(交易历史!E:E="四轮交易"),0)),IFERROR(INDEX(交易历史!C:C,MATCH(1,(交易历史!A:A=A50)*(交易历史!E:E="三轮交易"),0)),IFERROR(INDEX(交易历史!C:C,MATCH(1,(交易历史!A:A=A50)*(交易历史!E:E="二轮交易"),0)),IFERROR(INDEX(交易历史!C:C,MATCH(1,(交易历史!A:A=A50)*(交易历史!E:E="首轮交易"),0)),""))))</f>
        <v>【NikoFC】NikoCN Fanclub</v>
      </c>
      <c r="G50" s="291">
        <f>IF(A50&lt;&gt;"",_xlfn.MAXIFS($B$12:$B$210,$A$12:$A$210,A50),"")</f>
        <v>510</v>
      </c>
      <c r="H50" s="267">
        <f>IF(A50&lt;&gt;"",IF(COUNTIF($A50:$A$210,A50)=1,1,""),"")</f>
        <v>1</v>
      </c>
    </row>
    <row r="51" ht="31.5" spans="1:8">
      <c r="A51" s="289" t="s">
        <v>93</v>
      </c>
      <c r="B51" s="289">
        <v>500</v>
      </c>
      <c r="C51" s="264" t="s">
        <v>6</v>
      </c>
      <c r="E51" s="265" t="s">
        <v>225</v>
      </c>
      <c r="F51" s="290" t="str" cm="1">
        <f t="array" ref="F51">IFERROR(INDEX(交易历史!C:C,MATCH(1,(交易历史!A:A=A51)*(交易历史!E:E="四轮交易"),0)),IFERROR(INDEX(交易历史!C:C,MATCH(1,(交易历史!A:A=A51)*(交易历史!E:E="三轮交易"),0)),IFERROR(INDEX(交易历史!C:C,MATCH(1,(交易历史!A:A=A51)*(交易历史!E:E="二轮交易"),0)),IFERROR(INDEX(交易历史!C:C,MATCH(1,(交易历史!A:A=A51)*(交易历史!E:E="首轮交易"),0)),""))))</f>
        <v>【CbHz】吃饱喝足就是玩</v>
      </c>
      <c r="G51" s="291">
        <f>IF(A51&lt;&gt;"",_xlfn.MAXIFS($B$12:$B$210,$A$12:$A$210,A51),"")</f>
        <v>500</v>
      </c>
      <c r="H51" s="267">
        <f>IF(A51&lt;&gt;"",IF(COUNTIF($A51:$A$210,A51)=1,1,""),"")</f>
        <v>1</v>
      </c>
    </row>
    <row r="52" ht="31.5" spans="1:8">
      <c r="A52" s="289" t="s">
        <v>95</v>
      </c>
      <c r="B52" s="289">
        <v>0</v>
      </c>
      <c r="C52" s="264" t="s">
        <v>6</v>
      </c>
      <c r="E52" s="265" t="s">
        <v>225</v>
      </c>
      <c r="F52" s="290" t="str" cm="1">
        <f t="array" ref="F52">IFERROR(INDEX(交易历史!C:C,MATCH(1,(交易历史!A:A=A52)*(交易历史!E:E="四轮交易"),0)),IFERROR(INDEX(交易历史!C:C,MATCH(1,(交易历史!A:A=A52)*(交易历史!E:E="三轮交易"),0)),IFERROR(INDEX(交易历史!C:C,MATCH(1,(交易历史!A:A=A52)*(交易历史!E:E="二轮交易"),0)),IFERROR(INDEX(交易历史!C:C,MATCH(1,(交易历史!A:A=A52)*(交易历史!E:E="首轮交易"),0)),""))))</f>
        <v>【CbHz】吃饱喝足就是玩</v>
      </c>
      <c r="G52" s="291">
        <f>IF(A52&lt;&gt;"",_xlfn.MAXIFS($B$12:$B$210,$A$12:$A$210,A52),"")</f>
        <v>0</v>
      </c>
      <c r="H52" s="267">
        <f>IF(A52&lt;&gt;"",IF(COUNTIF($A52:$A$210,A52)=1,1,""),"")</f>
        <v>1</v>
      </c>
    </row>
    <row r="53" ht="31.5" spans="1:8">
      <c r="A53" s="289" t="s">
        <v>97</v>
      </c>
      <c r="B53" s="289">
        <v>760</v>
      </c>
      <c r="C53" s="264" t="s">
        <v>20</v>
      </c>
      <c r="E53" s="265" t="s">
        <v>225</v>
      </c>
      <c r="F53" s="290" t="str" cm="1">
        <f t="array" ref="F53">IFERROR(INDEX(交易历史!C:C,MATCH(1,(交易历史!A:A=A53)*(交易历史!E:E="四轮交易"),0)),IFERROR(INDEX(交易历史!C:C,MATCH(1,(交易历史!A:A=A53)*(交易历史!E:E="三轮交易"),0)),IFERROR(INDEX(交易历史!C:C,MATCH(1,(交易历史!A:A=A53)*(交易历史!E:E="二轮交易"),0)),IFERROR(INDEX(交易历史!C:C,MATCH(1,(交易历史!A:A=A53)*(交易历史!E:E="首轮交易"),0)),""))))</f>
        <v>【NikoFC】NikoCN Fanclub</v>
      </c>
      <c r="G53" s="291">
        <f>IF(A53&lt;&gt;"",_xlfn.MAXIFS($B$12:$B$210,$A$12:$A$210,A53),"")</f>
        <v>760</v>
      </c>
      <c r="H53" s="267">
        <f>IF(A53&lt;&gt;"",IF(COUNTIF($A53:$A$210,A53)=1,1,""),"")</f>
        <v>1</v>
      </c>
    </row>
    <row r="54" ht="31.5" spans="1:8">
      <c r="A54" s="289" t="s">
        <v>98</v>
      </c>
      <c r="B54" s="289">
        <v>300</v>
      </c>
      <c r="C54" s="264" t="s">
        <v>18</v>
      </c>
      <c r="E54" s="265" t="s">
        <v>225</v>
      </c>
      <c r="F54" s="290" t="str" cm="1">
        <f t="array" ref="F54">IFERROR(INDEX(交易历史!C:C,MATCH(1,(交易历史!A:A=A54)*(交易历史!E:E="四轮交易"),0)),IFERROR(INDEX(交易历史!C:C,MATCH(1,(交易历史!A:A=A54)*(交易历史!E:E="三轮交易"),0)),IFERROR(INDEX(交易历史!C:C,MATCH(1,(交易历史!A:A=A54)*(交易历史!E:E="二轮交易"),0)),IFERROR(INDEX(交易历史!C:C,MATCH(1,(交易历史!A:A=A54)*(交易历史!E:E="首轮交易"),0)),""))))</f>
        <v>【Miniworld】迷你世界</v>
      </c>
      <c r="G54" s="291">
        <f>IF(A54&lt;&gt;"",_xlfn.MAXIFS($B$12:$B$210,$A$12:$A$210,A54),"")</f>
        <v>300</v>
      </c>
      <c r="H54" s="267">
        <f>IF(A54&lt;&gt;"",IF(COUNTIF($A54:$A$210,A54)=1,1,""),"")</f>
        <v>1</v>
      </c>
    </row>
    <row r="55" ht="31.5" spans="1:8">
      <c r="A55" s="289" t="s">
        <v>99</v>
      </c>
      <c r="B55" s="289">
        <v>500</v>
      </c>
      <c r="C55" s="264" t="s">
        <v>10</v>
      </c>
      <c r="E55" s="265" t="s">
        <v>225</v>
      </c>
      <c r="F55" s="290" t="str" cm="1">
        <f t="array" ref="F55">IFERROR(INDEX(交易历史!C:C,MATCH(1,(交易历史!A:A=A55)*(交易历史!E:E="四轮交易"),0)),IFERROR(INDEX(交易历史!C:C,MATCH(1,(交易历史!A:A=A55)*(交易历史!E:E="三轮交易"),0)),IFERROR(INDEX(交易历史!C:C,MATCH(1,(交易历史!A:A=A55)*(交易历史!E:E="二轮交易"),0)),IFERROR(INDEX(交易历史!C:C,MATCH(1,(交易历史!A:A=A55)*(交易历史!E:E="首轮交易"),0)),""))))</f>
        <v>【OldH】老H犟嘴</v>
      </c>
      <c r="G55" s="291">
        <f>IF(A55&lt;&gt;"",_xlfn.MAXIFS($B$12:$B$210,$A$12:$A$210,A55),"")</f>
        <v>500</v>
      </c>
      <c r="H55" s="267">
        <f>IF(A55&lt;&gt;"",IF(COUNTIF($A55:$A$210,A55)=1,1,""),"")</f>
        <v>1</v>
      </c>
    </row>
    <row r="56" ht="31.5" spans="1:8">
      <c r="A56" s="289" t="s">
        <v>101</v>
      </c>
      <c r="B56" s="289">
        <v>130</v>
      </c>
      <c r="C56" s="264" t="s">
        <v>12</v>
      </c>
      <c r="E56" s="265" t="s">
        <v>225</v>
      </c>
      <c r="F56" s="290" t="str" cm="1">
        <f t="array" ref="F56">IFERROR(INDEX(交易历史!C:C,MATCH(1,(交易历史!A:A=A56)*(交易历史!E:E="四轮交易"),0)),IFERROR(INDEX(交易历史!C:C,MATCH(1,(交易历史!A:A=A56)*(交易历史!E:E="三轮交易"),0)),IFERROR(INDEX(交易历史!C:C,MATCH(1,(交易历史!A:A=A56)*(交易历史!E:E="二轮交易"),0)),IFERROR(INDEX(交易历史!C:C,MATCH(1,(交易历史!A:A=A56)*(交易历史!E:E="首轮交易"),0)),""))))</f>
        <v>【AWO】逃出生天</v>
      </c>
      <c r="G56" s="291">
        <f>IF(A56&lt;&gt;"",_xlfn.MAXIFS($B$12:$B$210,$A$12:$A$210,A56),"")</f>
        <v>130</v>
      </c>
      <c r="H56" s="267">
        <f>IF(A56&lt;&gt;"",IF(COUNTIF($A56:$A$210,A56)=1,1,""),"")</f>
        <v>1</v>
      </c>
    </row>
    <row r="57" ht="31.5" spans="1:8">
      <c r="A57" s="289" t="s">
        <v>102</v>
      </c>
      <c r="B57" s="289">
        <v>250</v>
      </c>
      <c r="C57" s="264" t="s">
        <v>6</v>
      </c>
      <c r="E57" s="265" t="s">
        <v>225</v>
      </c>
      <c r="F57" s="290" t="str" cm="1">
        <f t="array" ref="F57">IFERROR(INDEX(交易历史!C:C,MATCH(1,(交易历史!A:A=A57)*(交易历史!E:E="四轮交易"),0)),IFERROR(INDEX(交易历史!C:C,MATCH(1,(交易历史!A:A=A57)*(交易历史!E:E="三轮交易"),0)),IFERROR(INDEX(交易历史!C:C,MATCH(1,(交易历史!A:A=A57)*(交易历史!E:E="二轮交易"),0)),IFERROR(INDEX(交易历史!C:C,MATCH(1,(交易历史!A:A=A57)*(交易历史!E:E="首轮交易"),0)),""))))</f>
        <v>【CbHz】吃饱喝足就是玩</v>
      </c>
      <c r="G57" s="291">
        <f>IF(A57&lt;&gt;"",_xlfn.MAXIFS($B$12:$B$210,$A$12:$A$210,A57),"")</f>
        <v>250</v>
      </c>
      <c r="H57" s="267">
        <f>IF(A57&lt;&gt;"",IF(COUNTIF($A57:$A$210,A57)=1,1,""),"")</f>
        <v>1</v>
      </c>
    </row>
    <row r="58" ht="31.5" spans="1:8">
      <c r="A58" s="289" t="s">
        <v>104</v>
      </c>
      <c r="B58" s="289">
        <v>100</v>
      </c>
      <c r="C58" s="264" t="s">
        <v>10</v>
      </c>
      <c r="E58" s="265" t="s">
        <v>225</v>
      </c>
      <c r="F58" s="290" t="str" cm="1">
        <f t="array" ref="F58">IFERROR(INDEX(交易历史!C:C,MATCH(1,(交易历史!A:A=A58)*(交易历史!E:E="四轮交易"),0)),IFERROR(INDEX(交易历史!C:C,MATCH(1,(交易历史!A:A=A58)*(交易历史!E:E="三轮交易"),0)),IFERROR(INDEX(交易历史!C:C,MATCH(1,(交易历史!A:A=A58)*(交易历史!E:E="二轮交易"),0)),IFERROR(INDEX(交易历史!C:C,MATCH(1,(交易历史!A:A=A58)*(交易历史!E:E="首轮交易"),0)),""))))</f>
        <v>【OldH】老H犟嘴</v>
      </c>
      <c r="G58" s="291">
        <f>IF(A58&lt;&gt;"",_xlfn.MAXIFS($B$12:$B$210,$A$12:$A$210,A58),"")</f>
        <v>100</v>
      </c>
      <c r="H58" s="267">
        <f>IF(A58&lt;&gt;"",IF(COUNTIF($A58:$A$210,A58)=1,1,""),"")</f>
        <v>1</v>
      </c>
    </row>
    <row r="59" ht="31.5" spans="1:8">
      <c r="A59" s="289" t="s">
        <v>105</v>
      </c>
      <c r="B59" s="289">
        <v>40</v>
      </c>
      <c r="C59" s="264" t="s">
        <v>8</v>
      </c>
      <c r="E59" s="265" t="s">
        <v>225</v>
      </c>
      <c r="F59" s="290" t="str" cm="1">
        <f t="array" ref="F59">IFERROR(INDEX(交易历史!C:C,MATCH(1,(交易历史!A:A=A59)*(交易历史!E:E="四轮交易"),0)),IFERROR(INDEX(交易历史!C:C,MATCH(1,(交易历史!A:A=A59)*(交易历史!E:E="三轮交易"),0)),IFERROR(INDEX(交易历史!C:C,MATCH(1,(交易历史!A:A=A59)*(交易历史!E:E="二轮交易"),0)),IFERROR(INDEX(交易历史!C:C,MATCH(1,(交易历史!A:A=A59)*(交易历史!E:E="首轮交易"),0)),""))))</f>
        <v>【SSR】Superior Super Rare</v>
      </c>
      <c r="G59" s="291">
        <f>IF(A59&lt;&gt;"",_xlfn.MAXIFS($B$12:$B$210,$A$12:$A$210,A59),"")</f>
        <v>40</v>
      </c>
      <c r="H59" s="267">
        <f>IF(A59&lt;&gt;"",IF(COUNTIF($A59:$A$210,A59)=1,1,""),"")</f>
        <v>1</v>
      </c>
    </row>
    <row r="60" ht="31.5" spans="1:8">
      <c r="A60" s="289" t="s">
        <v>107</v>
      </c>
      <c r="B60" s="289">
        <v>10</v>
      </c>
      <c r="C60" s="264" t="s">
        <v>20</v>
      </c>
      <c r="E60" s="265" t="s">
        <v>225</v>
      </c>
      <c r="F60" s="290" t="str" cm="1">
        <f t="array" ref="F60">IFERROR(INDEX(交易历史!C:C,MATCH(1,(交易历史!A:A=A60)*(交易历史!E:E="四轮交易"),0)),IFERROR(INDEX(交易历史!C:C,MATCH(1,(交易历史!A:A=A60)*(交易历史!E:E="三轮交易"),0)),IFERROR(INDEX(交易历史!C:C,MATCH(1,(交易历史!A:A=A60)*(交易历史!E:E="二轮交易"),0)),IFERROR(INDEX(交易历史!C:C,MATCH(1,(交易历史!A:A=A60)*(交易历史!E:E="首轮交易"),0)),""))))</f>
        <v>【NikoFC】NikoCN Fanclub</v>
      </c>
      <c r="G60" s="291">
        <f>IF(A60&lt;&gt;"",_xlfn.MAXIFS($B$12:$B$210,$A$12:$A$210,A60),"")</f>
        <v>10</v>
      </c>
      <c r="H60" s="267">
        <f>IF(A60&lt;&gt;"",IF(COUNTIF($A60:$A$210,A60)=1,1,""),"")</f>
        <v>1</v>
      </c>
    </row>
    <row r="61" ht="31.5" spans="1:8">
      <c r="A61" s="289" t="s">
        <v>108</v>
      </c>
      <c r="B61" s="289">
        <v>700</v>
      </c>
      <c r="C61" s="264" t="s">
        <v>8</v>
      </c>
      <c r="E61" s="265" t="s">
        <v>225</v>
      </c>
      <c r="F61" s="290" t="str" cm="1">
        <f t="array" ref="F61">IFERROR(INDEX(交易历史!C:C,MATCH(1,(交易历史!A:A=A61)*(交易历史!E:E="四轮交易"),0)),IFERROR(INDEX(交易历史!C:C,MATCH(1,(交易历史!A:A=A61)*(交易历史!E:E="三轮交易"),0)),IFERROR(INDEX(交易历史!C:C,MATCH(1,(交易历史!A:A=A61)*(交易历史!E:E="二轮交易"),0)),IFERROR(INDEX(交易历史!C:C,MATCH(1,(交易历史!A:A=A61)*(交易历史!E:E="首轮交易"),0)),""))))</f>
        <v>【SSR】Superior Super Rare</v>
      </c>
      <c r="G61" s="291">
        <f>IF(A61&lt;&gt;"",_xlfn.MAXIFS($B$12:$B$210,$A$12:$A$210,A61),"")</f>
        <v>700</v>
      </c>
      <c r="H61" s="267">
        <f>IF(A61&lt;&gt;"",IF(COUNTIF($A61:$A$210,A61)=1,1,""),"")</f>
        <v>1</v>
      </c>
    </row>
    <row r="62" ht="31.5" spans="1:8">
      <c r="A62" s="289" t="s">
        <v>110</v>
      </c>
      <c r="B62" s="289">
        <v>850</v>
      </c>
      <c r="C62" s="264" t="s">
        <v>18</v>
      </c>
      <c r="E62" s="265" t="s">
        <v>225</v>
      </c>
      <c r="F62" s="290" t="str" cm="1">
        <f t="array" ref="F62">IFERROR(INDEX(交易历史!C:C,MATCH(1,(交易历史!A:A=A62)*(交易历史!E:E="四轮交易"),0)),IFERROR(INDEX(交易历史!C:C,MATCH(1,(交易历史!A:A=A62)*(交易历史!E:E="三轮交易"),0)),IFERROR(INDEX(交易历史!C:C,MATCH(1,(交易历史!A:A=A62)*(交易历史!E:E="二轮交易"),0)),IFERROR(INDEX(交易历史!C:C,MATCH(1,(交易历史!A:A=A62)*(交易历史!E:E="首轮交易"),0)),""))))</f>
        <v>【Miniworld】迷你世界</v>
      </c>
      <c r="G62" s="291">
        <f>IF(A62&lt;&gt;"",_xlfn.MAXIFS($B$12:$B$210,$A$12:$A$210,A62),"")</f>
        <v>850</v>
      </c>
      <c r="H62" s="267">
        <f>IF(A62&lt;&gt;"",IF(COUNTIF($A62:$A$210,A62)=1,1,""),"")</f>
        <v>1</v>
      </c>
    </row>
    <row r="63" ht="31.5" spans="1:8">
      <c r="A63" s="289" t="s">
        <v>111</v>
      </c>
      <c r="B63" s="289">
        <v>80</v>
      </c>
      <c r="C63" s="264" t="s">
        <v>12</v>
      </c>
      <c r="E63" s="265" t="s">
        <v>225</v>
      </c>
      <c r="F63" s="290" t="str" cm="1">
        <f t="array" ref="F63">IFERROR(INDEX(交易历史!C:C,MATCH(1,(交易历史!A:A=A63)*(交易历史!E:E="四轮交易"),0)),IFERROR(INDEX(交易历史!C:C,MATCH(1,(交易历史!A:A=A63)*(交易历史!E:E="三轮交易"),0)),IFERROR(INDEX(交易历史!C:C,MATCH(1,(交易历史!A:A=A63)*(交易历史!E:E="二轮交易"),0)),IFERROR(INDEX(交易历史!C:C,MATCH(1,(交易历史!A:A=A63)*(交易历史!E:E="首轮交易"),0)),""))))</f>
        <v>【AWO】逃出生天</v>
      </c>
      <c r="G63" s="291">
        <f>IF(A63&lt;&gt;"",_xlfn.MAXIFS($B$12:$B$210,$A$12:$A$210,A63),"")</f>
        <v>80</v>
      </c>
      <c r="H63" s="267">
        <f>IF(A63&lt;&gt;"",IF(COUNTIF($A63:$A$210,A63)=1,1,""),"")</f>
        <v>1</v>
      </c>
    </row>
    <row r="64" ht="31.5" spans="1:8">
      <c r="A64" s="289" t="s">
        <v>113</v>
      </c>
      <c r="B64" s="289">
        <v>0</v>
      </c>
      <c r="C64" s="264" t="s">
        <v>6</v>
      </c>
      <c r="E64" s="265" t="s">
        <v>225</v>
      </c>
      <c r="F64" s="290" t="str" cm="1">
        <f t="array" ref="F64">IFERROR(INDEX(交易历史!C:C,MATCH(1,(交易历史!A:A=A64)*(交易历史!E:E="四轮交易"),0)),IFERROR(INDEX(交易历史!C:C,MATCH(1,(交易历史!A:A=A64)*(交易历史!E:E="三轮交易"),0)),IFERROR(INDEX(交易历史!C:C,MATCH(1,(交易历史!A:A=A64)*(交易历史!E:E="二轮交易"),0)),IFERROR(INDEX(交易历史!C:C,MATCH(1,(交易历史!A:A=A64)*(交易历史!E:E="首轮交易"),0)),""))))</f>
        <v>【CbHz】吃饱喝足就是玩</v>
      </c>
      <c r="G64" s="291">
        <f>IF(A64&lt;&gt;"",_xlfn.MAXIFS($B$12:$B$210,$A$12:$A$210,A64),"")</f>
        <v>0</v>
      </c>
      <c r="H64" s="267">
        <f>IF(A64&lt;&gt;"",IF(COUNTIF($A64:$A$210,A64)=1,1,""),"")</f>
        <v>1</v>
      </c>
    </row>
    <row r="65" ht="31.5" spans="1:8">
      <c r="A65" s="289" t="s">
        <v>115</v>
      </c>
      <c r="B65" s="289">
        <v>160</v>
      </c>
      <c r="C65" s="264" t="s">
        <v>10</v>
      </c>
      <c r="E65" s="265" t="s">
        <v>225</v>
      </c>
      <c r="F65" s="290" t="str" cm="1">
        <f t="array" ref="F65">IFERROR(INDEX(交易历史!C:C,MATCH(1,(交易历史!A:A=A65)*(交易历史!E:E="四轮交易"),0)),IFERROR(INDEX(交易历史!C:C,MATCH(1,(交易历史!A:A=A65)*(交易历史!E:E="三轮交易"),0)),IFERROR(INDEX(交易历史!C:C,MATCH(1,(交易历史!A:A=A65)*(交易历史!E:E="二轮交易"),0)),IFERROR(INDEX(交易历史!C:C,MATCH(1,(交易历史!A:A=A65)*(交易历史!E:E="首轮交易"),0)),""))))</f>
        <v>【OldH】老H犟嘴</v>
      </c>
      <c r="G65" s="291">
        <f>IF(A65&lt;&gt;"",_xlfn.MAXIFS($B$12:$B$210,$A$12:$A$210,A65),"")</f>
        <v>160</v>
      </c>
      <c r="H65" s="267">
        <f>IF(A65&lt;&gt;"",IF(COUNTIF($A65:$A$210,A65)=1,1,""),"")</f>
        <v>1</v>
      </c>
    </row>
    <row r="66" ht="31.5" spans="1:8">
      <c r="A66" s="289" t="s">
        <v>116</v>
      </c>
      <c r="B66" s="289">
        <v>410</v>
      </c>
      <c r="C66" s="264" t="s">
        <v>8</v>
      </c>
      <c r="E66" s="265" t="s">
        <v>225</v>
      </c>
      <c r="F66" s="290" t="str" cm="1">
        <f t="array" ref="F66">IFERROR(INDEX(交易历史!C:C,MATCH(1,(交易历史!A:A=A66)*(交易历史!E:E="四轮交易"),0)),IFERROR(INDEX(交易历史!C:C,MATCH(1,(交易历史!A:A=A66)*(交易历史!E:E="三轮交易"),0)),IFERROR(INDEX(交易历史!C:C,MATCH(1,(交易历史!A:A=A66)*(交易历史!E:E="二轮交易"),0)),IFERROR(INDEX(交易历史!C:C,MATCH(1,(交易历史!A:A=A66)*(交易历史!E:E="首轮交易"),0)),""))))</f>
        <v>【SSR】Superior Super Rare</v>
      </c>
      <c r="G66" s="291">
        <f>IF(A66&lt;&gt;"",_xlfn.MAXIFS($B$12:$B$210,$A$12:$A$210,A66),"")</f>
        <v>410</v>
      </c>
      <c r="H66" s="267">
        <f>IF(A66&lt;&gt;"",IF(COUNTIF($A66:$A$210,A66)=1,1,""),"")</f>
        <v>1</v>
      </c>
    </row>
    <row r="67" ht="31.5" spans="1:8">
      <c r="A67" s="289" t="s">
        <v>118</v>
      </c>
      <c r="B67" s="289">
        <v>190</v>
      </c>
      <c r="C67" s="264" t="s">
        <v>14</v>
      </c>
      <c r="E67" s="265" t="s">
        <v>225</v>
      </c>
      <c r="F67" s="290" t="str" cm="1">
        <f t="array" ref="F67">IFERROR(INDEX(交易历史!C:C,MATCH(1,(交易历史!A:A=A67)*(交易历史!E:E="四轮交易"),0)),IFERROR(INDEX(交易历史!C:C,MATCH(1,(交易历史!A:A=A67)*(交易历史!E:E="三轮交易"),0)),IFERROR(INDEX(交易历史!C:C,MATCH(1,(交易历史!A:A=A67)*(交易历史!E:E="二轮交易"),0)),IFERROR(INDEX(交易历史!C:C,MATCH(1,(交易历史!A:A=A67)*(交易历史!E:E="首轮交易"),0)),""))))</f>
        <v>【G2】G2‭</v>
      </c>
      <c r="G67" s="291">
        <f>IF(A67&lt;&gt;"",_xlfn.MAXIFS($B$12:$B$210,$A$12:$A$210,A67),"")</f>
        <v>190</v>
      </c>
      <c r="H67" s="267">
        <f>IF(A67&lt;&gt;"",IF(COUNTIF($A67:$A$210,A67)=1,1,""),"")</f>
        <v>1</v>
      </c>
    </row>
    <row r="68" ht="31.5" spans="1:8">
      <c r="A68" s="289" t="s">
        <v>120</v>
      </c>
      <c r="B68" s="289">
        <v>190</v>
      </c>
      <c r="C68" s="264" t="s">
        <v>12</v>
      </c>
      <c r="E68" s="265" t="s">
        <v>225</v>
      </c>
      <c r="F68" s="290" t="str" cm="1">
        <f t="array" ref="F68">IFERROR(INDEX(交易历史!C:C,MATCH(1,(交易历史!A:A=A68)*(交易历史!E:E="四轮交易"),0)),IFERROR(INDEX(交易历史!C:C,MATCH(1,(交易历史!A:A=A68)*(交易历史!E:E="三轮交易"),0)),IFERROR(INDEX(交易历史!C:C,MATCH(1,(交易历史!A:A=A68)*(交易历史!E:E="二轮交易"),0)),IFERROR(INDEX(交易历史!C:C,MATCH(1,(交易历史!A:A=A68)*(交易历史!E:E="首轮交易"),0)),""))))</f>
        <v>【AWO】逃出生天</v>
      </c>
      <c r="G68" s="291">
        <f>IF(A68&lt;&gt;"",_xlfn.MAXIFS($B$12:$B$210,$A$12:$A$210,A68),"")</f>
        <v>190</v>
      </c>
      <c r="H68" s="267">
        <f>IF(A68&lt;&gt;"",IF(COUNTIF($A68:$A$210,A68)=1,1,""),"")</f>
        <v>1</v>
      </c>
    </row>
    <row r="69" ht="31.5" spans="1:8">
      <c r="A69" s="289" t="s">
        <v>122</v>
      </c>
      <c r="B69" s="289">
        <v>350</v>
      </c>
      <c r="C69" s="264" t="s">
        <v>18</v>
      </c>
      <c r="E69" s="265" t="s">
        <v>225</v>
      </c>
      <c r="F69" s="290" t="str" cm="1">
        <f t="array" ref="F69">IFERROR(INDEX(交易历史!C:C,MATCH(1,(交易历史!A:A=A69)*(交易历史!E:E="四轮交易"),0)),IFERROR(INDEX(交易历史!C:C,MATCH(1,(交易历史!A:A=A69)*(交易历史!E:E="三轮交易"),0)),IFERROR(INDEX(交易历史!C:C,MATCH(1,(交易历史!A:A=A69)*(交易历史!E:E="二轮交易"),0)),IFERROR(INDEX(交易历史!C:C,MATCH(1,(交易历史!A:A=A69)*(交易历史!E:E="首轮交易"),0)),""))))</f>
        <v>【Miniworld】迷你世界</v>
      </c>
      <c r="G69" s="291">
        <f>IF(A69&lt;&gt;"",_xlfn.MAXIFS($B$12:$B$210,$A$12:$A$210,A69),"")</f>
        <v>350</v>
      </c>
      <c r="H69" s="267">
        <f>IF(A69&lt;&gt;"",IF(COUNTIF($A69:$A$210,A69)=1,1,""),"")</f>
        <v>1</v>
      </c>
    </row>
    <row r="70" ht="31.5" spans="1:8">
      <c r="A70" s="289" t="s">
        <v>124</v>
      </c>
      <c r="B70" s="289">
        <v>1000</v>
      </c>
      <c r="C70" s="264" t="s">
        <v>16</v>
      </c>
      <c r="E70" s="265" t="s">
        <v>225</v>
      </c>
      <c r="F70" s="290" t="str" cm="1">
        <f t="array" ref="F70">IFERROR(INDEX(交易历史!C:C,MATCH(1,(交易历史!A:A=A70)*(交易历史!E:E="四轮交易"),0)),IFERROR(INDEX(交易历史!C:C,MATCH(1,(交易历史!A:A=A70)*(交易历史!E:E="三轮交易"),0)),IFERROR(INDEX(交易历史!C:C,MATCH(1,(交易历史!A:A=A70)*(交易历史!E:E="二轮交易"),0)),IFERROR(INDEX(交易历史!C:C,MATCH(1,(交易历史!A:A=A70)*(交易历史!E:E="首轮交易"),0)),""))))</f>
        <v>【TV】Team Vitality</v>
      </c>
      <c r="G70" s="291">
        <f>IF(A70&lt;&gt;"",_xlfn.MAXIFS($B$12:$B$210,$A$12:$A$210,A70),"")</f>
        <v>1000</v>
      </c>
      <c r="H70" s="267">
        <f>IF(A70&lt;&gt;"",IF(COUNTIF($A70:$A$210,A70)=1,1,""),"")</f>
        <v>1</v>
      </c>
    </row>
    <row r="71" ht="31.5" spans="1:8">
      <c r="A71" s="289" t="s">
        <v>126</v>
      </c>
      <c r="B71" s="289">
        <v>850</v>
      </c>
      <c r="C71" s="264" t="s">
        <v>12</v>
      </c>
      <c r="E71" s="265" t="s">
        <v>225</v>
      </c>
      <c r="F71" s="290" t="str" cm="1">
        <f t="array" ref="F71">IFERROR(INDEX(交易历史!C:C,MATCH(1,(交易历史!A:A=A71)*(交易历史!E:E="四轮交易"),0)),IFERROR(INDEX(交易历史!C:C,MATCH(1,(交易历史!A:A=A71)*(交易历史!E:E="三轮交易"),0)),IFERROR(INDEX(交易历史!C:C,MATCH(1,(交易历史!A:A=A71)*(交易历史!E:E="二轮交易"),0)),IFERROR(INDEX(交易历史!C:C,MATCH(1,(交易历史!A:A=A71)*(交易历史!E:E="首轮交易"),0)),""))))</f>
        <v>【AWO】逃出生天</v>
      </c>
      <c r="G71" s="291">
        <f>IF(A71&lt;&gt;"",_xlfn.MAXIFS($B$12:$B$210,$A$12:$A$210,A71),"")</f>
        <v>850</v>
      </c>
      <c r="H71" s="267">
        <f>IF(A71&lt;&gt;"",IF(COUNTIF($A71:$A$210,A71)=1,1,""),"")</f>
        <v>1</v>
      </c>
    </row>
    <row r="72" ht="31.5" spans="1:8">
      <c r="A72" s="289" t="s">
        <v>127</v>
      </c>
      <c r="B72" s="289">
        <v>10</v>
      </c>
      <c r="C72" s="264" t="s">
        <v>16</v>
      </c>
      <c r="E72" s="265" t="s">
        <v>225</v>
      </c>
      <c r="F72" s="290" t="str" cm="1">
        <f t="array" ref="F72">IFERROR(INDEX(交易历史!C:C,MATCH(1,(交易历史!A:A=A72)*(交易历史!E:E="四轮交易"),0)),IFERROR(INDEX(交易历史!C:C,MATCH(1,(交易历史!A:A=A72)*(交易历史!E:E="三轮交易"),0)),IFERROR(INDEX(交易历史!C:C,MATCH(1,(交易历史!A:A=A72)*(交易历史!E:E="二轮交易"),0)),IFERROR(INDEX(交易历史!C:C,MATCH(1,(交易历史!A:A=A72)*(交易历史!E:E="首轮交易"),0)),""))))</f>
        <v>【TV】Team Vitality</v>
      </c>
      <c r="G72" s="291">
        <f>IF(A72&lt;&gt;"",_xlfn.MAXIFS($B$12:$B$210,$A$12:$A$210,A72),"")</f>
        <v>10</v>
      </c>
      <c r="H72" s="267">
        <f>IF(A72&lt;&gt;"",IF(COUNTIF($A72:$A$210,A72)=1,1,""),"")</f>
        <v>1</v>
      </c>
    </row>
    <row r="73" ht="31.5" spans="1:8">
      <c r="A73" s="289" t="s">
        <v>129</v>
      </c>
      <c r="B73" s="289">
        <v>20</v>
      </c>
      <c r="C73" s="264" t="s">
        <v>16</v>
      </c>
      <c r="E73" s="265" t="s">
        <v>225</v>
      </c>
      <c r="F73" s="290" t="str" cm="1">
        <f t="array" ref="F73">IFERROR(INDEX(交易历史!C:C,MATCH(1,(交易历史!A:A=A73)*(交易历史!E:E="四轮交易"),0)),IFERROR(INDEX(交易历史!C:C,MATCH(1,(交易历史!A:A=A73)*(交易历史!E:E="三轮交易"),0)),IFERROR(INDEX(交易历史!C:C,MATCH(1,(交易历史!A:A=A73)*(交易历史!E:E="二轮交易"),0)),IFERROR(INDEX(交易历史!C:C,MATCH(1,(交易历史!A:A=A73)*(交易历史!E:E="首轮交易"),0)),""))))</f>
        <v>【TV】Team Vitality</v>
      </c>
      <c r="G73" s="291">
        <f>IF(A73&lt;&gt;"",_xlfn.MAXIFS($B$12:$B$210,$A$12:$A$210,A73),"")</f>
        <v>20</v>
      </c>
      <c r="H73" s="267">
        <f>IF(A73&lt;&gt;"",IF(COUNTIF($A73:$A$210,A73)=1,1,""),"")</f>
        <v>1</v>
      </c>
    </row>
    <row r="74" ht="31.5" spans="1:8">
      <c r="A74" s="289" t="s">
        <v>131</v>
      </c>
      <c r="B74" s="289">
        <v>400</v>
      </c>
      <c r="C74" s="264" t="s">
        <v>14</v>
      </c>
      <c r="E74" s="265" t="s">
        <v>225</v>
      </c>
      <c r="F74" s="290" t="str" cm="1">
        <f t="array" ref="F74">IFERROR(INDEX(交易历史!C:C,MATCH(1,(交易历史!A:A=A74)*(交易历史!E:E="四轮交易"),0)),IFERROR(INDEX(交易历史!C:C,MATCH(1,(交易历史!A:A=A74)*(交易历史!E:E="三轮交易"),0)),IFERROR(INDEX(交易历史!C:C,MATCH(1,(交易历史!A:A=A74)*(交易历史!E:E="二轮交易"),0)),IFERROR(INDEX(交易历史!C:C,MATCH(1,(交易历史!A:A=A74)*(交易历史!E:E="首轮交易"),0)),""))))</f>
        <v>【G2】G2‭</v>
      </c>
      <c r="G74" s="291">
        <f>IF(A74&lt;&gt;"",_xlfn.MAXIFS($B$12:$B$210,$A$12:$A$210,A74),"")</f>
        <v>400</v>
      </c>
      <c r="H74" s="267">
        <f>IF(A74&lt;&gt;"",IF(COUNTIF($A74:$A$210,A74)=1,1,""),"")</f>
        <v>1</v>
      </c>
    </row>
    <row r="75" ht="31.5" spans="1:8">
      <c r="A75" s="289" t="s">
        <v>133</v>
      </c>
      <c r="B75" s="289">
        <v>90</v>
      </c>
      <c r="C75" s="264" t="s">
        <v>12</v>
      </c>
      <c r="E75" s="265" t="s">
        <v>225</v>
      </c>
      <c r="F75" s="290" t="str" cm="1">
        <f t="array" ref="F75">IFERROR(INDEX(交易历史!C:C,MATCH(1,(交易历史!A:A=A75)*(交易历史!E:E="四轮交易"),0)),IFERROR(INDEX(交易历史!C:C,MATCH(1,(交易历史!A:A=A75)*(交易历史!E:E="三轮交易"),0)),IFERROR(INDEX(交易历史!C:C,MATCH(1,(交易历史!A:A=A75)*(交易历史!E:E="二轮交易"),0)),IFERROR(INDEX(交易历史!C:C,MATCH(1,(交易历史!A:A=A75)*(交易历史!E:E="首轮交易"),0)),""))))</f>
        <v>【AWO】逃出生天</v>
      </c>
      <c r="G75" s="291">
        <f>IF(A75&lt;&gt;"",_xlfn.MAXIFS($B$12:$B$210,$A$12:$A$210,A75),"")</f>
        <v>90</v>
      </c>
      <c r="H75" s="267">
        <f>IF(A75&lt;&gt;"",IF(COUNTIF($A75:$A$210,A75)=1,1,""),"")</f>
        <v>1</v>
      </c>
    </row>
    <row r="76" ht="31.5" spans="1:8">
      <c r="A76" s="289" t="s">
        <v>135</v>
      </c>
      <c r="B76" s="289">
        <v>90</v>
      </c>
      <c r="C76" s="264" t="s">
        <v>10</v>
      </c>
      <c r="E76" s="265" t="s">
        <v>225</v>
      </c>
      <c r="F76" s="290" t="str" cm="1">
        <f t="array" ref="F76">IFERROR(INDEX(交易历史!C:C,MATCH(1,(交易历史!A:A=A76)*(交易历史!E:E="四轮交易"),0)),IFERROR(INDEX(交易历史!C:C,MATCH(1,(交易历史!A:A=A76)*(交易历史!E:E="三轮交易"),0)),IFERROR(INDEX(交易历史!C:C,MATCH(1,(交易历史!A:A=A76)*(交易历史!E:E="二轮交易"),0)),IFERROR(INDEX(交易历史!C:C,MATCH(1,(交易历史!A:A=A76)*(交易历史!E:E="首轮交易"),0)),""))))</f>
        <v>【OldH】老H犟嘴</v>
      </c>
      <c r="G76" s="291">
        <f>IF(A76&lt;&gt;"",_xlfn.MAXIFS($B$12:$B$210,$A$12:$A$210,A76),"")</f>
        <v>90</v>
      </c>
      <c r="H76" s="267">
        <f>IF(A76&lt;&gt;"",IF(COUNTIF($A76:$A$210,A76)=1,1,""),"")</f>
        <v>1</v>
      </c>
    </row>
    <row r="77" ht="31.5" spans="1:8">
      <c r="A77" s="289" t="s">
        <v>136</v>
      </c>
      <c r="B77" s="289">
        <v>380</v>
      </c>
      <c r="C77" s="264" t="s">
        <v>10</v>
      </c>
      <c r="E77" s="265" t="s">
        <v>225</v>
      </c>
      <c r="F77" s="290" t="str" cm="1">
        <f t="array" ref="F77">IFERROR(INDEX(交易历史!C:C,MATCH(1,(交易历史!A:A=A77)*(交易历史!E:E="四轮交易"),0)),IFERROR(INDEX(交易历史!C:C,MATCH(1,(交易历史!A:A=A77)*(交易历史!E:E="三轮交易"),0)),IFERROR(INDEX(交易历史!C:C,MATCH(1,(交易历史!A:A=A77)*(交易历史!E:E="二轮交易"),0)),IFERROR(INDEX(交易历史!C:C,MATCH(1,(交易历史!A:A=A77)*(交易历史!E:E="首轮交易"),0)),""))))</f>
        <v>【OldH】老H犟嘴</v>
      </c>
      <c r="G77" s="291">
        <f>IF(A77&lt;&gt;"",_xlfn.MAXIFS($B$12:$B$210,$A$12:$A$210,A77),"")</f>
        <v>380</v>
      </c>
      <c r="H77" s="267">
        <f>IF(A77&lt;&gt;"",IF(COUNTIF($A77:$A$210,A77)=1,1,""),"")</f>
        <v>1</v>
      </c>
    </row>
    <row r="78" ht="31.5" spans="1:8">
      <c r="A78" s="289" t="s">
        <v>137</v>
      </c>
      <c r="B78" s="289">
        <v>120</v>
      </c>
      <c r="C78" s="264" t="s">
        <v>16</v>
      </c>
      <c r="E78" s="265" t="s">
        <v>225</v>
      </c>
      <c r="F78" s="290" t="str" cm="1">
        <f t="array" ref="F78">IFERROR(INDEX(交易历史!C:C,MATCH(1,(交易历史!A:A=A78)*(交易历史!E:E="四轮交易"),0)),IFERROR(INDEX(交易历史!C:C,MATCH(1,(交易历史!A:A=A78)*(交易历史!E:E="三轮交易"),0)),IFERROR(INDEX(交易历史!C:C,MATCH(1,(交易历史!A:A=A78)*(交易历史!E:E="二轮交易"),0)),IFERROR(INDEX(交易历史!C:C,MATCH(1,(交易历史!A:A=A78)*(交易历史!E:E="首轮交易"),0)),""))))</f>
        <v>【TV】Team Vitality</v>
      </c>
      <c r="G78" s="291">
        <f>IF(A78&lt;&gt;"",_xlfn.MAXIFS($B$12:$B$210,$A$12:$A$210,A78),"")</f>
        <v>120</v>
      </c>
      <c r="H78" s="267">
        <f>IF(A78&lt;&gt;"",IF(COUNTIF($A78:$A$210,A78)=1,1,""),"")</f>
        <v>1</v>
      </c>
    </row>
    <row r="79" ht="31.5" spans="1:8">
      <c r="A79" s="289" t="s">
        <v>138</v>
      </c>
      <c r="B79" s="289">
        <v>140</v>
      </c>
      <c r="C79" s="264" t="s">
        <v>14</v>
      </c>
      <c r="E79" s="265" t="s">
        <v>225</v>
      </c>
      <c r="F79" s="290" t="str" cm="1">
        <f t="array" ref="F79">IFERROR(INDEX(交易历史!C:C,MATCH(1,(交易历史!A:A=A79)*(交易历史!E:E="四轮交易"),0)),IFERROR(INDEX(交易历史!C:C,MATCH(1,(交易历史!A:A=A79)*(交易历史!E:E="三轮交易"),0)),IFERROR(INDEX(交易历史!C:C,MATCH(1,(交易历史!A:A=A79)*(交易历史!E:E="二轮交易"),0)),IFERROR(INDEX(交易历史!C:C,MATCH(1,(交易历史!A:A=A79)*(交易历史!E:E="首轮交易"),0)),""))))</f>
        <v>【G2】G2‭</v>
      </c>
      <c r="G79" s="291">
        <f>IF(A79&lt;&gt;"",_xlfn.MAXIFS($B$12:$B$210,$A$12:$A$210,A79),"")</f>
        <v>140</v>
      </c>
      <c r="H79" s="267">
        <f>IF(A79&lt;&gt;"",IF(COUNTIF($A79:$A$210,A79)=1,1,""),"")</f>
        <v>1</v>
      </c>
    </row>
    <row r="80" ht="31.5" spans="1:8">
      <c r="A80" s="289" t="s">
        <v>139</v>
      </c>
      <c r="B80" s="289">
        <v>10</v>
      </c>
      <c r="C80" s="264" t="s">
        <v>6</v>
      </c>
      <c r="E80" s="265" t="s">
        <v>225</v>
      </c>
      <c r="F80" s="290" t="str" cm="1">
        <f t="array" ref="F80">IFERROR(INDEX(交易历史!C:C,MATCH(1,(交易历史!A:A=A80)*(交易历史!E:E="四轮交易"),0)),IFERROR(INDEX(交易历史!C:C,MATCH(1,(交易历史!A:A=A80)*(交易历史!E:E="三轮交易"),0)),IFERROR(INDEX(交易历史!C:C,MATCH(1,(交易历史!A:A=A80)*(交易历史!E:E="二轮交易"),0)),IFERROR(INDEX(交易历史!C:C,MATCH(1,(交易历史!A:A=A80)*(交易历史!E:E="首轮交易"),0)),""))))</f>
        <v>【CbHz】吃饱喝足就是玩</v>
      </c>
      <c r="G80" s="291">
        <f>IF(A80&lt;&gt;"",_xlfn.MAXIFS($B$12:$B$210,$A$12:$A$210,A80),"")</f>
        <v>10</v>
      </c>
      <c r="H80" s="267">
        <f>IF(A80&lt;&gt;"",IF(COUNTIF($A80:$A$210,A80)=1,1,""),"")</f>
        <v>1</v>
      </c>
    </row>
    <row r="81" ht="31.5" spans="1:8">
      <c r="A81" s="289" t="s">
        <v>141</v>
      </c>
      <c r="B81" s="289">
        <v>120</v>
      </c>
      <c r="C81" s="264" t="s">
        <v>16</v>
      </c>
      <c r="E81" s="265" t="s">
        <v>225</v>
      </c>
      <c r="F81" s="290" t="str" cm="1">
        <f t="array" ref="F81">IFERROR(INDEX(交易历史!C:C,MATCH(1,(交易历史!A:A=A81)*(交易历史!E:E="四轮交易"),0)),IFERROR(INDEX(交易历史!C:C,MATCH(1,(交易历史!A:A=A81)*(交易历史!E:E="三轮交易"),0)),IFERROR(INDEX(交易历史!C:C,MATCH(1,(交易历史!A:A=A81)*(交易历史!E:E="二轮交易"),0)),IFERROR(INDEX(交易历史!C:C,MATCH(1,(交易历史!A:A=A81)*(交易历史!E:E="首轮交易"),0)),""))))</f>
        <v>【TV】Team Vitality</v>
      </c>
      <c r="G81" s="291">
        <f>IF(A81&lt;&gt;"",_xlfn.MAXIFS($B$12:$B$210,$A$12:$A$210,A81),"")</f>
        <v>120</v>
      </c>
      <c r="H81" s="267">
        <f>IF(A81&lt;&gt;"",IF(COUNTIF($A81:$A$210,A81)=1,1,""),"")</f>
        <v>1</v>
      </c>
    </row>
    <row r="82" ht="31.5" spans="1:8">
      <c r="A82" s="289" t="s">
        <v>143</v>
      </c>
      <c r="B82" s="289">
        <v>150</v>
      </c>
      <c r="C82" s="264" t="s">
        <v>10</v>
      </c>
      <c r="E82" s="265" t="s">
        <v>225</v>
      </c>
      <c r="F82" s="290" t="str" cm="1">
        <f t="array" ref="F82">IFERROR(INDEX(交易历史!C:C,MATCH(1,(交易历史!A:A=A82)*(交易历史!E:E="四轮交易"),0)),IFERROR(INDEX(交易历史!C:C,MATCH(1,(交易历史!A:A=A82)*(交易历史!E:E="三轮交易"),0)),IFERROR(INDEX(交易历史!C:C,MATCH(1,(交易历史!A:A=A82)*(交易历史!E:E="二轮交易"),0)),IFERROR(INDEX(交易历史!C:C,MATCH(1,(交易历史!A:A=A82)*(交易历史!E:E="首轮交易"),0)),""))))</f>
        <v>【OldH】老H犟嘴</v>
      </c>
      <c r="G82" s="291">
        <f>IF(A82&lt;&gt;"",_xlfn.MAXIFS($B$12:$B$210,$A$12:$A$210,A82),"")</f>
        <v>150</v>
      </c>
      <c r="H82" s="267">
        <f>IF(A82&lt;&gt;"",IF(COUNTIF($A82:$A$210,A82)=1,1,""),"")</f>
        <v>1</v>
      </c>
    </row>
    <row r="83" ht="31.5" spans="1:8">
      <c r="A83" s="289" t="s">
        <v>145</v>
      </c>
      <c r="B83" s="289">
        <v>100</v>
      </c>
      <c r="C83" s="264" t="s">
        <v>10</v>
      </c>
      <c r="E83" s="265" t="s">
        <v>225</v>
      </c>
      <c r="F83" s="290" t="str" cm="1">
        <f t="array" ref="F83">IFERROR(INDEX(交易历史!C:C,MATCH(1,(交易历史!A:A=A83)*(交易历史!E:E="四轮交易"),0)),IFERROR(INDEX(交易历史!C:C,MATCH(1,(交易历史!A:A=A83)*(交易历史!E:E="三轮交易"),0)),IFERROR(INDEX(交易历史!C:C,MATCH(1,(交易历史!A:A=A83)*(交易历史!E:E="二轮交易"),0)),IFERROR(INDEX(交易历史!C:C,MATCH(1,(交易历史!A:A=A83)*(交易历史!E:E="首轮交易"),0)),""))))</f>
        <v>【OldH】老H犟嘴</v>
      </c>
      <c r="G83" s="291">
        <f>IF(A83&lt;&gt;"",_xlfn.MAXIFS($B$12:$B$210,$A$12:$A$210,A83),"")</f>
        <v>100</v>
      </c>
      <c r="H83" s="267">
        <f>IF(A83&lt;&gt;"",IF(COUNTIF($A83:$A$210,A83)=1,1,""),"")</f>
        <v>1</v>
      </c>
    </row>
    <row r="84" ht="31.5" spans="1:8">
      <c r="A84" s="289" t="s">
        <v>147</v>
      </c>
      <c r="B84" s="294">
        <v>210</v>
      </c>
      <c r="C84" s="264" t="s">
        <v>12</v>
      </c>
      <c r="E84" s="265" t="s">
        <v>225</v>
      </c>
      <c r="F84" s="290" t="str" cm="1">
        <f t="array" ref="F84">IFERROR(INDEX(交易历史!C:C,MATCH(1,(交易历史!A:A=A84)*(交易历史!E:E="四轮交易"),0)),IFERROR(INDEX(交易历史!C:C,MATCH(1,(交易历史!A:A=A84)*(交易历史!E:E="三轮交易"),0)),IFERROR(INDEX(交易历史!C:C,MATCH(1,(交易历史!A:A=A84)*(交易历史!E:E="二轮交易"),0)),IFERROR(INDEX(交易历史!C:C,MATCH(1,(交易历史!A:A=A84)*(交易历史!E:E="首轮交易"),0)),""))))</f>
        <v>【AWO】逃出生天</v>
      </c>
      <c r="G84" s="291">
        <f>IF(A84&lt;&gt;"",_xlfn.MAXIFS($B$12:$B$210,$A$12:$A$210,A84),"")</f>
        <v>210</v>
      </c>
      <c r="H84" s="267">
        <f>IF(A84&lt;&gt;"",IF(COUNTIF($A84:$A$210,A84)=1,1,""),"")</f>
        <v>1</v>
      </c>
    </row>
    <row r="85" ht="31.5" spans="1:8">
      <c r="A85" s="289" t="s">
        <v>149</v>
      </c>
      <c r="B85" s="294">
        <v>0</v>
      </c>
      <c r="C85" s="264" t="s">
        <v>12</v>
      </c>
      <c r="E85" s="265" t="s">
        <v>225</v>
      </c>
      <c r="F85" s="290" t="str" cm="1">
        <f t="array" ref="F85">IFERROR(INDEX(交易历史!C:C,MATCH(1,(交易历史!A:A=A85)*(交易历史!E:E="四轮交易"),0)),IFERROR(INDEX(交易历史!C:C,MATCH(1,(交易历史!A:A=A85)*(交易历史!E:E="三轮交易"),0)),IFERROR(INDEX(交易历史!C:C,MATCH(1,(交易历史!A:A=A85)*(交易历史!E:E="二轮交易"),0)),IFERROR(INDEX(交易历史!C:C,MATCH(1,(交易历史!A:A=A85)*(交易历史!E:E="首轮交易"),0)),""))))</f>
        <v>【AWO】逃出生天</v>
      </c>
      <c r="G85" s="291">
        <f>IF(A85&lt;&gt;"",_xlfn.MAXIFS($B$12:$B$210,$A$12:$A$210,A85),"")</f>
        <v>0</v>
      </c>
      <c r="H85" s="267">
        <f>IF(A85&lt;&gt;"",IF(COUNTIF($A85:$A$210,A85)=1,1,""),"")</f>
        <v>1</v>
      </c>
    </row>
    <row r="86" ht="31.5" spans="1:8">
      <c r="A86" s="289" t="s">
        <v>150</v>
      </c>
      <c r="B86" s="294">
        <v>0</v>
      </c>
      <c r="C86" s="264" t="s">
        <v>14</v>
      </c>
      <c r="E86" s="265" t="s">
        <v>225</v>
      </c>
      <c r="F86" s="290" t="str" cm="1">
        <f t="array" ref="F86">IFERROR(INDEX(交易历史!C:C,MATCH(1,(交易历史!A:A=A86)*(交易历史!E:E="四轮交易"),0)),IFERROR(INDEX(交易历史!C:C,MATCH(1,(交易历史!A:A=A86)*(交易历史!E:E="三轮交易"),0)),IFERROR(INDEX(交易历史!C:C,MATCH(1,(交易历史!A:A=A86)*(交易历史!E:E="二轮交易"),0)),IFERROR(INDEX(交易历史!C:C,MATCH(1,(交易历史!A:A=A86)*(交易历史!E:E="首轮交易"),0)),""))))</f>
        <v>【G2】G2‭</v>
      </c>
      <c r="G86" s="291">
        <f>IF(A86&lt;&gt;"",_xlfn.MAXIFS($B$12:$B$210,$A$12:$A$210,A86),"")</f>
        <v>0</v>
      </c>
      <c r="H86" s="267">
        <f>IF(A86&lt;&gt;"",IF(COUNTIF($A86:$A$210,A86)=1,1,""),"")</f>
        <v>1</v>
      </c>
    </row>
    <row r="87" ht="31.5" spans="1:8">
      <c r="A87" s="289" t="s">
        <v>152</v>
      </c>
      <c r="B87" s="294">
        <v>130</v>
      </c>
      <c r="C87" s="264" t="s">
        <v>16</v>
      </c>
      <c r="E87" s="265" t="s">
        <v>225</v>
      </c>
      <c r="F87" s="290" t="str" cm="1">
        <f t="array" ref="F87">IFERROR(INDEX(交易历史!C:C,MATCH(1,(交易历史!A:A=A87)*(交易历史!E:E="四轮交易"),0)),IFERROR(INDEX(交易历史!C:C,MATCH(1,(交易历史!A:A=A87)*(交易历史!E:E="三轮交易"),0)),IFERROR(INDEX(交易历史!C:C,MATCH(1,(交易历史!A:A=A87)*(交易历史!E:E="二轮交易"),0)),IFERROR(INDEX(交易历史!C:C,MATCH(1,(交易历史!A:A=A87)*(交易历史!E:E="首轮交易"),0)),""))))</f>
        <v>【TV】Team Vitality</v>
      </c>
      <c r="G87" s="291">
        <f>IF(A87&lt;&gt;"",_xlfn.MAXIFS($B$12:$B$210,$A$12:$A$210,A87),"")</f>
        <v>130</v>
      </c>
      <c r="H87" s="267">
        <f>IF(A87&lt;&gt;"",IF(COUNTIF($A87:$A$210,A87)=1,1,""),"")</f>
        <v>1</v>
      </c>
    </row>
    <row r="88" ht="31.5" spans="1:8">
      <c r="A88" s="289" t="s">
        <v>153</v>
      </c>
      <c r="B88" s="294">
        <v>10</v>
      </c>
      <c r="C88" s="264" t="s">
        <v>20</v>
      </c>
      <c r="E88" s="265" t="s">
        <v>225</v>
      </c>
      <c r="F88" s="290" t="str" cm="1">
        <f t="array" ref="F88">IFERROR(INDEX(交易历史!C:C,MATCH(1,(交易历史!A:A=A88)*(交易历史!E:E="四轮交易"),0)),IFERROR(INDEX(交易历史!C:C,MATCH(1,(交易历史!A:A=A88)*(交易历史!E:E="三轮交易"),0)),IFERROR(INDEX(交易历史!C:C,MATCH(1,(交易历史!A:A=A88)*(交易历史!E:E="二轮交易"),0)),IFERROR(INDEX(交易历史!C:C,MATCH(1,(交易历史!A:A=A88)*(交易历史!E:E="首轮交易"),0)),""))))</f>
        <v>【NikoFC】NikoCN Fanclub</v>
      </c>
      <c r="G88" s="291">
        <f>IF(A88&lt;&gt;"",_xlfn.MAXIFS($B$12:$B$210,$A$12:$A$210,A88),"")</f>
        <v>10</v>
      </c>
      <c r="H88" s="267">
        <f>IF(A88&lt;&gt;"",IF(COUNTIF($A88:$A$210,A88)=1,1,""),"")</f>
        <v>1</v>
      </c>
    </row>
    <row r="89" ht="31.5" spans="1:8">
      <c r="A89" s="289" t="s">
        <v>155</v>
      </c>
      <c r="B89" s="294">
        <v>10</v>
      </c>
      <c r="C89" s="264" t="s">
        <v>14</v>
      </c>
      <c r="E89" s="265" t="s">
        <v>225</v>
      </c>
      <c r="F89" s="290" t="str" cm="1">
        <f t="array" ref="F89">IFERROR(INDEX(交易历史!C:C,MATCH(1,(交易历史!A:A=A89)*(交易历史!E:E="四轮交易"),0)),IFERROR(INDEX(交易历史!C:C,MATCH(1,(交易历史!A:A=A89)*(交易历史!E:E="三轮交易"),0)),IFERROR(INDEX(交易历史!C:C,MATCH(1,(交易历史!A:A=A89)*(交易历史!E:E="二轮交易"),0)),IFERROR(INDEX(交易历史!C:C,MATCH(1,(交易历史!A:A=A89)*(交易历史!E:E="首轮交易"),0)),""))))</f>
        <v>【G2】G2‭</v>
      </c>
      <c r="G89" s="291">
        <f>IF(A89&lt;&gt;"",_xlfn.MAXIFS($B$12:$B$210,$A$12:$A$210,A89),"")</f>
        <v>10</v>
      </c>
      <c r="H89" s="267">
        <f>IF(A89&lt;&gt;"",IF(COUNTIF($A89:$A$210,A89)=1,1,""),"")</f>
        <v>1</v>
      </c>
    </row>
    <row r="90" ht="31.5" spans="1:8">
      <c r="A90" s="289" t="s">
        <v>157</v>
      </c>
      <c r="B90" s="294">
        <v>10</v>
      </c>
      <c r="C90" s="264" t="s">
        <v>20</v>
      </c>
      <c r="E90" s="265" t="s">
        <v>225</v>
      </c>
      <c r="F90" s="290" t="str" cm="1">
        <f t="array" ref="F90">IFERROR(INDEX(交易历史!C:C,MATCH(1,(交易历史!A:A=A90)*(交易历史!E:E="四轮交易"),0)),IFERROR(INDEX(交易历史!C:C,MATCH(1,(交易历史!A:A=A90)*(交易历史!E:E="三轮交易"),0)),IFERROR(INDEX(交易历史!C:C,MATCH(1,(交易历史!A:A=A90)*(交易历史!E:E="二轮交易"),0)),IFERROR(INDEX(交易历史!C:C,MATCH(1,(交易历史!A:A=A90)*(交易历史!E:E="首轮交易"),0)),""))))</f>
        <v>【NikoFC】NikoCN Fanclub</v>
      </c>
      <c r="G90" s="291">
        <f>IF(A90&lt;&gt;"",_xlfn.MAXIFS($B$12:$B$210,$A$12:$A$210,A90),"")</f>
        <v>10</v>
      </c>
      <c r="H90" s="267">
        <f>IF(A90&lt;&gt;"",IF(COUNTIF($A90:$A$210,A90)=1,1,""),"")</f>
        <v>1</v>
      </c>
    </row>
    <row r="91" ht="31.5" spans="1:8">
      <c r="A91" s="289" t="s">
        <v>158</v>
      </c>
      <c r="B91" s="294">
        <v>0</v>
      </c>
      <c r="C91" s="264" t="s">
        <v>14</v>
      </c>
      <c r="E91" s="265" t="s">
        <v>225</v>
      </c>
      <c r="F91" s="290" t="str" cm="1">
        <f t="array" ref="F91">IFERROR(INDEX(交易历史!C:C,MATCH(1,(交易历史!A:A=A91)*(交易历史!E:E="四轮交易"),0)),IFERROR(INDEX(交易历史!C:C,MATCH(1,(交易历史!A:A=A91)*(交易历史!E:E="三轮交易"),0)),IFERROR(INDEX(交易历史!C:C,MATCH(1,(交易历史!A:A=A91)*(交易历史!E:E="二轮交易"),0)),IFERROR(INDEX(交易历史!C:C,MATCH(1,(交易历史!A:A=A91)*(交易历史!E:E="首轮交易"),0)),""))))</f>
        <v>【G2】G2‭</v>
      </c>
      <c r="G91" s="291">
        <f>IF(A91&lt;&gt;"",_xlfn.MAXIFS($B$12:$B$210,$A$12:$A$210,A91),"")</f>
        <v>0</v>
      </c>
      <c r="H91" s="267">
        <f>IF(A91&lt;&gt;"",IF(COUNTIF($A91:$A$210,A91)=1,1,""),"")</f>
        <v>1</v>
      </c>
    </row>
    <row r="92" ht="31.5" spans="1:8">
      <c r="A92" s="289" t="s">
        <v>159</v>
      </c>
      <c r="B92" s="294">
        <v>20</v>
      </c>
      <c r="C92" s="264" t="s">
        <v>14</v>
      </c>
      <c r="E92" s="265" t="s">
        <v>225</v>
      </c>
      <c r="F92" s="290" t="str" cm="1">
        <f t="array" ref="F92">IFERROR(INDEX(交易历史!C:C,MATCH(1,(交易历史!A:A=A92)*(交易历史!E:E="四轮交易"),0)),IFERROR(INDEX(交易历史!C:C,MATCH(1,(交易历史!A:A=A92)*(交易历史!E:E="三轮交易"),0)),IFERROR(INDEX(交易历史!C:C,MATCH(1,(交易历史!A:A=A92)*(交易历史!E:E="二轮交易"),0)),IFERROR(INDEX(交易历史!C:C,MATCH(1,(交易历史!A:A=A92)*(交易历史!E:E="首轮交易"),0)),""))))</f>
        <v>【G2】G2‭</v>
      </c>
      <c r="G92" s="291">
        <f>IF(A92&lt;&gt;"",_xlfn.MAXIFS($B$12:$B$210,$A$12:$A$210,A92),"")</f>
        <v>20</v>
      </c>
      <c r="H92" s="267">
        <f>IF(A92&lt;&gt;"",IF(COUNTIF($A92:$A$210,A92)=1,1,""),"")</f>
        <v>1</v>
      </c>
    </row>
    <row r="93" ht="31.5" spans="1:8">
      <c r="A93" s="289" t="s">
        <v>161</v>
      </c>
      <c r="B93" s="294">
        <v>100</v>
      </c>
      <c r="C93" s="264" t="s">
        <v>10</v>
      </c>
      <c r="E93" s="265" t="s">
        <v>225</v>
      </c>
      <c r="F93" s="290" t="str" cm="1">
        <f t="array" ref="F93">IFERROR(INDEX(交易历史!C:C,MATCH(1,(交易历史!A:A=A93)*(交易历史!E:E="四轮交易"),0)),IFERROR(INDEX(交易历史!C:C,MATCH(1,(交易历史!A:A=A93)*(交易历史!E:E="三轮交易"),0)),IFERROR(INDEX(交易历史!C:C,MATCH(1,(交易历史!A:A=A93)*(交易历史!E:E="二轮交易"),0)),IFERROR(INDEX(交易历史!C:C,MATCH(1,(交易历史!A:A=A93)*(交易历史!E:E="首轮交易"),0)),""))))</f>
        <v>【OldH】老H犟嘴</v>
      </c>
      <c r="G93" s="291">
        <f>IF(A93&lt;&gt;"",_xlfn.MAXIFS($B$12:$B$210,$A$12:$A$210,A93),"")</f>
        <v>100</v>
      </c>
      <c r="H93" s="267">
        <f>IF(A93&lt;&gt;"",IF(COUNTIF($A93:$A$210,A93)=1,1,""),"")</f>
        <v>1</v>
      </c>
    </row>
    <row r="94" ht="31.5" spans="1:8">
      <c r="A94" s="289" t="s">
        <v>163</v>
      </c>
      <c r="B94" s="294"/>
      <c r="C94" s="295"/>
      <c r="E94" s="265" t="s">
        <v>225</v>
      </c>
      <c r="F94" s="290" cm="1">
        <f t="array" ref="F94">IFERROR(INDEX(交易历史!C:C,MATCH(1,(交易历史!A:A=A94)*(交易历史!E:E="四轮交易"),0)),IFERROR(INDEX(交易历史!C:C,MATCH(1,(交易历史!A:A=A94)*(交易历史!E:E="三轮交易"),0)),IFERROR(INDEX(交易历史!C:C,MATCH(1,(交易历史!A:A=A94)*(交易历史!E:E="二轮交易"),0)),IFERROR(INDEX(交易历史!C:C,MATCH(1,(交易历史!A:A=A94)*(交易历史!E:E="首轮交易"),0)),""))))</f>
        <v>0</v>
      </c>
      <c r="G94" s="291">
        <f>IF(A94&lt;&gt;"",_xlfn.MAXIFS($B$12:$B$210,$A$12:$A$210,A94),"")</f>
        <v>0</v>
      </c>
      <c r="H94" s="267">
        <f>IF(A94&lt;&gt;"",IF(COUNTIF($A94:$A$210,A94)=1,1,""),"")</f>
        <v>1</v>
      </c>
    </row>
    <row r="95" ht="31.5" spans="1:8">
      <c r="A95" s="289" t="s">
        <v>165</v>
      </c>
      <c r="B95" s="294"/>
      <c r="C95" s="295"/>
      <c r="E95" s="265" t="s">
        <v>225</v>
      </c>
      <c r="F95" s="290" cm="1">
        <f t="array" ref="F95">IFERROR(INDEX(交易历史!C:C,MATCH(1,(交易历史!A:A=A95)*(交易历史!E:E="四轮交易"),0)),IFERROR(INDEX(交易历史!C:C,MATCH(1,(交易历史!A:A=A95)*(交易历史!E:E="三轮交易"),0)),IFERROR(INDEX(交易历史!C:C,MATCH(1,(交易历史!A:A=A95)*(交易历史!E:E="二轮交易"),0)),IFERROR(INDEX(交易历史!C:C,MATCH(1,(交易历史!A:A=A95)*(交易历史!E:E="首轮交易"),0)),""))))</f>
        <v>0</v>
      </c>
      <c r="G95" s="291">
        <f>IF(A95&lt;&gt;"",_xlfn.MAXIFS($B$12:$B$210,$A$12:$A$210,A95),"")</f>
        <v>0</v>
      </c>
      <c r="H95" s="267">
        <f>IF(A95&lt;&gt;"",IF(COUNTIF($A95:$A$210,A95)=1,1,""),"")</f>
        <v>1</v>
      </c>
    </row>
    <row r="96" ht="31.5" spans="1:8">
      <c r="A96" s="289" t="s">
        <v>166</v>
      </c>
      <c r="B96" s="294"/>
      <c r="C96" s="295"/>
      <c r="E96" s="265" t="s">
        <v>225</v>
      </c>
      <c r="F96" s="290" cm="1">
        <f t="array" ref="F96">IFERROR(INDEX(交易历史!C:C,MATCH(1,(交易历史!A:A=A96)*(交易历史!E:E="四轮交易"),0)),IFERROR(INDEX(交易历史!C:C,MATCH(1,(交易历史!A:A=A96)*(交易历史!E:E="三轮交易"),0)),IFERROR(INDEX(交易历史!C:C,MATCH(1,(交易历史!A:A=A96)*(交易历史!E:E="二轮交易"),0)),IFERROR(INDEX(交易历史!C:C,MATCH(1,(交易历史!A:A=A96)*(交易历史!E:E="首轮交易"),0)),""))))</f>
        <v>0</v>
      </c>
      <c r="G96" s="291">
        <f>IF(A96&lt;&gt;"",_xlfn.MAXIFS($B$12:$B$210,$A$12:$A$210,A96),"")</f>
        <v>0</v>
      </c>
      <c r="H96" s="267">
        <f>IF(A96&lt;&gt;"",IF(COUNTIF($A96:$A$210,A96)=1,1,""),"")</f>
        <v>1</v>
      </c>
    </row>
    <row r="97" ht="31.5" spans="1:8">
      <c r="A97" s="289" t="s">
        <v>168</v>
      </c>
      <c r="B97" s="294"/>
      <c r="C97" s="295"/>
      <c r="E97" s="265" t="s">
        <v>225</v>
      </c>
      <c r="F97" s="290" cm="1">
        <f t="array" ref="F97">IFERROR(INDEX(交易历史!C:C,MATCH(1,(交易历史!A:A=A97)*(交易历史!E:E="四轮交易"),0)),IFERROR(INDEX(交易历史!C:C,MATCH(1,(交易历史!A:A=A97)*(交易历史!E:E="三轮交易"),0)),IFERROR(INDEX(交易历史!C:C,MATCH(1,(交易历史!A:A=A97)*(交易历史!E:E="二轮交易"),0)),IFERROR(INDEX(交易历史!C:C,MATCH(1,(交易历史!A:A=A97)*(交易历史!E:E="首轮交易"),0)),""))))</f>
        <v>0</v>
      </c>
      <c r="G97" s="291">
        <f>IF(A97&lt;&gt;"",_xlfn.MAXIFS($B$12:$B$210,$A$12:$A$210,A97),"")</f>
        <v>0</v>
      </c>
      <c r="H97" s="267">
        <f>IF(A97&lt;&gt;"",IF(COUNTIF($A97:$A$210,A97)=1,1,""),"")</f>
        <v>1</v>
      </c>
    </row>
    <row r="98" ht="31.5" spans="1:8">
      <c r="A98" s="289" t="s">
        <v>169</v>
      </c>
      <c r="B98" s="294"/>
      <c r="C98" s="295"/>
      <c r="E98" s="265" t="s">
        <v>225</v>
      </c>
      <c r="F98" s="290" cm="1">
        <f t="array" ref="F98">IFERROR(INDEX(交易历史!C:C,MATCH(1,(交易历史!A:A=A98)*(交易历史!E:E="四轮交易"),0)),IFERROR(INDEX(交易历史!C:C,MATCH(1,(交易历史!A:A=A98)*(交易历史!E:E="三轮交易"),0)),IFERROR(INDEX(交易历史!C:C,MATCH(1,(交易历史!A:A=A98)*(交易历史!E:E="二轮交易"),0)),IFERROR(INDEX(交易历史!C:C,MATCH(1,(交易历史!A:A=A98)*(交易历史!E:E="首轮交易"),0)),""))))</f>
        <v>0</v>
      </c>
      <c r="G98" s="291">
        <f>IF(A98&lt;&gt;"",_xlfn.MAXIFS($B$12:$B$210,$A$12:$A$210,A98),"")</f>
        <v>0</v>
      </c>
      <c r="H98" s="267">
        <f>IF(A98&lt;&gt;"",IF(COUNTIF($A98:$A$210,A98)=1,1,""),"")</f>
        <v>1</v>
      </c>
    </row>
    <row r="99" ht="31.5" spans="1:8">
      <c r="A99" s="289" t="s">
        <v>171</v>
      </c>
      <c r="B99" s="294"/>
      <c r="C99" s="295"/>
      <c r="E99" s="265" t="s">
        <v>225</v>
      </c>
      <c r="F99" s="290" cm="1">
        <f t="array" ref="F99">IFERROR(INDEX(交易历史!C:C,MATCH(1,(交易历史!A:A=A99)*(交易历史!E:E="四轮交易"),0)),IFERROR(INDEX(交易历史!C:C,MATCH(1,(交易历史!A:A=A99)*(交易历史!E:E="三轮交易"),0)),IFERROR(INDEX(交易历史!C:C,MATCH(1,(交易历史!A:A=A99)*(交易历史!E:E="二轮交易"),0)),IFERROR(INDEX(交易历史!C:C,MATCH(1,(交易历史!A:A=A99)*(交易历史!E:E="首轮交易"),0)),""))))</f>
        <v>0</v>
      </c>
      <c r="G99" s="291">
        <f>IF(A99&lt;&gt;"",_xlfn.MAXIFS($B$12:$B$210,$A$12:$A$210,A99),"")</f>
        <v>0</v>
      </c>
      <c r="H99" s="267">
        <f>IF(A99&lt;&gt;"",IF(COUNTIF($A99:$A$210,A99)=1,1,""),"")</f>
        <v>1</v>
      </c>
    </row>
    <row r="100" ht="31.5" spans="1:8">
      <c r="A100" s="289" t="s">
        <v>173</v>
      </c>
      <c r="B100" s="294"/>
      <c r="C100" s="295"/>
      <c r="E100" s="265" t="s">
        <v>225</v>
      </c>
      <c r="F100" s="290" cm="1">
        <f t="array" ref="F100">IFERROR(INDEX(交易历史!C:C,MATCH(1,(交易历史!A:A=A100)*(交易历史!E:E="四轮交易"),0)),IFERROR(INDEX(交易历史!C:C,MATCH(1,(交易历史!A:A=A100)*(交易历史!E:E="三轮交易"),0)),IFERROR(INDEX(交易历史!C:C,MATCH(1,(交易历史!A:A=A100)*(交易历史!E:E="二轮交易"),0)),IFERROR(INDEX(交易历史!C:C,MATCH(1,(交易历史!A:A=A100)*(交易历史!E:E="首轮交易"),0)),""))))</f>
        <v>0</v>
      </c>
      <c r="G100" s="291">
        <f>IF(A100&lt;&gt;"",_xlfn.MAXIFS($B$12:$B$210,$A$12:$A$210,A100),"")</f>
        <v>0</v>
      </c>
      <c r="H100" s="267">
        <f>IF(A100&lt;&gt;"",IF(COUNTIF($A100:$A$210,A100)=1,1,""),"")</f>
        <v>1</v>
      </c>
    </row>
    <row r="101" ht="31.5" spans="1:8">
      <c r="A101" s="289" t="s">
        <v>174</v>
      </c>
      <c r="B101" s="294"/>
      <c r="C101" s="295"/>
      <c r="E101" s="265" t="s">
        <v>225</v>
      </c>
      <c r="F101" s="290" cm="1">
        <f t="array" ref="F101">IFERROR(INDEX(交易历史!C:C,MATCH(1,(交易历史!A:A=A101)*(交易历史!E:E="四轮交易"),0)),IFERROR(INDEX(交易历史!C:C,MATCH(1,(交易历史!A:A=A101)*(交易历史!E:E="三轮交易"),0)),IFERROR(INDEX(交易历史!C:C,MATCH(1,(交易历史!A:A=A101)*(交易历史!E:E="二轮交易"),0)),IFERROR(INDEX(交易历史!C:C,MATCH(1,(交易历史!A:A=A101)*(交易历史!E:E="首轮交易"),0)),""))))</f>
        <v>0</v>
      </c>
      <c r="G101" s="291">
        <f>IF(A101&lt;&gt;"",_xlfn.MAXIFS($B$12:$B$210,$A$12:$A$210,A101),"")</f>
        <v>0</v>
      </c>
      <c r="H101" s="267">
        <f>IF(A101&lt;&gt;"",IF(COUNTIF($A101:$A$210,A101)=1,1,""),"")</f>
        <v>1</v>
      </c>
    </row>
    <row r="102" ht="31.5" spans="1:8">
      <c r="A102" s="289" t="s">
        <v>176</v>
      </c>
      <c r="B102" s="294"/>
      <c r="C102" s="295"/>
      <c r="E102" s="265" t="s">
        <v>225</v>
      </c>
      <c r="F102" s="290" cm="1">
        <f t="array" ref="F102">IFERROR(INDEX(交易历史!C:C,MATCH(1,(交易历史!A:A=A102)*(交易历史!E:E="四轮交易"),0)),IFERROR(INDEX(交易历史!C:C,MATCH(1,(交易历史!A:A=A102)*(交易历史!E:E="三轮交易"),0)),IFERROR(INDEX(交易历史!C:C,MATCH(1,(交易历史!A:A=A102)*(交易历史!E:E="二轮交易"),0)),IFERROR(INDEX(交易历史!C:C,MATCH(1,(交易历史!A:A=A102)*(交易历史!E:E="首轮交易"),0)),""))))</f>
        <v>0</v>
      </c>
      <c r="G102" s="291">
        <f>IF(A102&lt;&gt;"",_xlfn.MAXIFS($B$12:$B$210,$A$12:$A$210,A102),"")</f>
        <v>0</v>
      </c>
      <c r="H102" s="267">
        <f>IF(A102&lt;&gt;"",IF(COUNTIF($A102:$A$210,A102)=1,1,""),"")</f>
        <v>1</v>
      </c>
    </row>
    <row r="103" ht="31.5" spans="1:8">
      <c r="A103" s="289" t="s">
        <v>178</v>
      </c>
      <c r="B103" s="294"/>
      <c r="C103" s="295"/>
      <c r="E103" s="265" t="s">
        <v>225</v>
      </c>
      <c r="F103" s="290" cm="1">
        <f t="array" ref="F103">IFERROR(INDEX(交易历史!C:C,MATCH(1,(交易历史!A:A=A103)*(交易历史!E:E="四轮交易"),0)),IFERROR(INDEX(交易历史!C:C,MATCH(1,(交易历史!A:A=A103)*(交易历史!E:E="三轮交易"),0)),IFERROR(INDEX(交易历史!C:C,MATCH(1,(交易历史!A:A=A103)*(交易历史!E:E="二轮交易"),0)),IFERROR(INDEX(交易历史!C:C,MATCH(1,(交易历史!A:A=A103)*(交易历史!E:E="首轮交易"),0)),""))))</f>
        <v>0</v>
      </c>
      <c r="G103" s="291">
        <f>IF(A103&lt;&gt;"",_xlfn.MAXIFS($B$12:$B$210,$A$12:$A$210,A103),"")</f>
        <v>0</v>
      </c>
      <c r="H103" s="267">
        <f>IF(A103&lt;&gt;"",IF(COUNTIF($A103:$A$210,A103)=1,1,""),"")</f>
        <v>1</v>
      </c>
    </row>
    <row r="104" ht="31.5" spans="1:8">
      <c r="A104" s="289" t="s">
        <v>180</v>
      </c>
      <c r="B104" s="294"/>
      <c r="C104" s="295"/>
      <c r="E104" s="265" t="s">
        <v>225</v>
      </c>
      <c r="F104" s="290" cm="1">
        <f t="array" ref="F104">IFERROR(INDEX(交易历史!C:C,MATCH(1,(交易历史!A:A=A104)*(交易历史!E:E="四轮交易"),0)),IFERROR(INDEX(交易历史!C:C,MATCH(1,(交易历史!A:A=A104)*(交易历史!E:E="三轮交易"),0)),IFERROR(INDEX(交易历史!C:C,MATCH(1,(交易历史!A:A=A104)*(交易历史!E:E="二轮交易"),0)),IFERROR(INDEX(交易历史!C:C,MATCH(1,(交易历史!A:A=A104)*(交易历史!E:E="首轮交易"),0)),""))))</f>
        <v>0</v>
      </c>
      <c r="G104" s="291">
        <f>IF(A104&lt;&gt;"",_xlfn.MAXIFS($B$12:$B$210,$A$12:$A$210,A104),"")</f>
        <v>0</v>
      </c>
      <c r="H104" s="267">
        <f>IF(A104&lt;&gt;"",IF(COUNTIF($A104:$A$210,A104)=1,1,""),"")</f>
        <v>1</v>
      </c>
    </row>
    <row r="105" ht="31.5" spans="1:8">
      <c r="A105" s="289" t="s">
        <v>182</v>
      </c>
      <c r="B105" s="294"/>
      <c r="C105" s="295"/>
      <c r="E105" s="265" t="s">
        <v>225</v>
      </c>
      <c r="F105" s="290" cm="1">
        <f t="array" ref="F105">IFERROR(INDEX(交易历史!C:C,MATCH(1,(交易历史!A:A=A105)*(交易历史!E:E="四轮交易"),0)),IFERROR(INDEX(交易历史!C:C,MATCH(1,(交易历史!A:A=A105)*(交易历史!E:E="三轮交易"),0)),IFERROR(INDEX(交易历史!C:C,MATCH(1,(交易历史!A:A=A105)*(交易历史!E:E="二轮交易"),0)),IFERROR(INDEX(交易历史!C:C,MATCH(1,(交易历史!A:A=A105)*(交易历史!E:E="首轮交易"),0)),""))))</f>
        <v>0</v>
      </c>
      <c r="G105" s="291">
        <f>IF(A105&lt;&gt;"",_xlfn.MAXIFS($B$12:$B$210,$A$12:$A$210,A105),"")</f>
        <v>0</v>
      </c>
      <c r="H105" s="267">
        <f>IF(A105&lt;&gt;"",IF(COUNTIF($A105:$A$210,A105)=1,1,""),"")</f>
        <v>1</v>
      </c>
    </row>
    <row r="106" ht="31.5" spans="1:8">
      <c r="A106" s="289" t="s">
        <v>184</v>
      </c>
      <c r="B106" s="294"/>
      <c r="C106" s="295"/>
      <c r="E106" s="265" t="s">
        <v>225</v>
      </c>
      <c r="F106" s="290" cm="1">
        <f t="array" ref="F106">IFERROR(INDEX(交易历史!C:C,MATCH(1,(交易历史!A:A=A106)*(交易历史!E:E="四轮交易"),0)),IFERROR(INDEX(交易历史!C:C,MATCH(1,(交易历史!A:A=A106)*(交易历史!E:E="三轮交易"),0)),IFERROR(INDEX(交易历史!C:C,MATCH(1,(交易历史!A:A=A106)*(交易历史!E:E="二轮交易"),0)),IFERROR(INDEX(交易历史!C:C,MATCH(1,(交易历史!A:A=A106)*(交易历史!E:E="首轮交易"),0)),""))))</f>
        <v>0</v>
      </c>
      <c r="G106" s="291">
        <f>IF(A106&lt;&gt;"",_xlfn.MAXIFS($B$12:$B$210,$A$12:$A$210,A106),"")</f>
        <v>0</v>
      </c>
      <c r="H106" s="267">
        <f>IF(A106&lt;&gt;"",IF(COUNTIF($A106:$A$210,A106)=1,1,""),"")</f>
        <v>1</v>
      </c>
    </row>
    <row r="107" ht="31.5" spans="1:8">
      <c r="A107" s="289" t="s">
        <v>186</v>
      </c>
      <c r="B107" s="294"/>
      <c r="C107" s="295"/>
      <c r="E107" s="265" t="s">
        <v>225</v>
      </c>
      <c r="F107" s="290" cm="1">
        <f t="array" ref="F107">IFERROR(INDEX(交易历史!C:C,MATCH(1,(交易历史!A:A=A107)*(交易历史!E:E="四轮交易"),0)),IFERROR(INDEX(交易历史!C:C,MATCH(1,(交易历史!A:A=A107)*(交易历史!E:E="三轮交易"),0)),IFERROR(INDEX(交易历史!C:C,MATCH(1,(交易历史!A:A=A107)*(交易历史!E:E="二轮交易"),0)),IFERROR(INDEX(交易历史!C:C,MATCH(1,(交易历史!A:A=A107)*(交易历史!E:E="首轮交易"),0)),""))))</f>
        <v>0</v>
      </c>
      <c r="G107" s="291">
        <f>IF(A107&lt;&gt;"",_xlfn.MAXIFS($B$12:$B$210,$A$12:$A$210,A107),"")</f>
        <v>0</v>
      </c>
      <c r="H107" s="267">
        <f>IF(A107&lt;&gt;"",IF(COUNTIF($A107:$A$210,A107)=1,1,""),"")</f>
        <v>1</v>
      </c>
    </row>
    <row r="108" ht="31.5" spans="1:8">
      <c r="A108" s="289" t="s">
        <v>188</v>
      </c>
      <c r="B108" s="294"/>
      <c r="C108" s="295"/>
      <c r="E108" s="265" t="s">
        <v>225</v>
      </c>
      <c r="F108" s="290" cm="1">
        <f t="array" ref="F108">IFERROR(INDEX(交易历史!C:C,MATCH(1,(交易历史!A:A=A108)*(交易历史!E:E="四轮交易"),0)),IFERROR(INDEX(交易历史!C:C,MATCH(1,(交易历史!A:A=A108)*(交易历史!E:E="三轮交易"),0)),IFERROR(INDEX(交易历史!C:C,MATCH(1,(交易历史!A:A=A108)*(交易历史!E:E="二轮交易"),0)),IFERROR(INDEX(交易历史!C:C,MATCH(1,(交易历史!A:A=A108)*(交易历史!E:E="首轮交易"),0)),""))))</f>
        <v>0</v>
      </c>
      <c r="G108" s="291">
        <f>IF(A108&lt;&gt;"",_xlfn.MAXIFS($B$12:$B$210,$A$12:$A$210,A108),"")</f>
        <v>0</v>
      </c>
      <c r="H108" s="267">
        <f>IF(A108&lt;&gt;"",IF(COUNTIF($A108:$A$210,A108)=1,1,""),"")</f>
        <v>1</v>
      </c>
    </row>
    <row r="109" ht="31.5" spans="1:8">
      <c r="A109" s="289" t="s">
        <v>190</v>
      </c>
      <c r="B109" s="294"/>
      <c r="C109" s="295"/>
      <c r="E109" s="265" t="s">
        <v>225</v>
      </c>
      <c r="F109" s="290" cm="1">
        <f t="array" ref="F109">IFERROR(INDEX(交易历史!C:C,MATCH(1,(交易历史!A:A=A109)*(交易历史!E:E="四轮交易"),0)),IFERROR(INDEX(交易历史!C:C,MATCH(1,(交易历史!A:A=A109)*(交易历史!E:E="三轮交易"),0)),IFERROR(INDEX(交易历史!C:C,MATCH(1,(交易历史!A:A=A109)*(交易历史!E:E="二轮交易"),0)),IFERROR(INDEX(交易历史!C:C,MATCH(1,(交易历史!A:A=A109)*(交易历史!E:E="首轮交易"),0)),""))))</f>
        <v>0</v>
      </c>
      <c r="G109" s="291">
        <f>IF(A109&lt;&gt;"",_xlfn.MAXIFS($B$12:$B$210,$A$12:$A$210,A109),"")</f>
        <v>0</v>
      </c>
      <c r="H109" s="267">
        <f>IF(A109&lt;&gt;"",IF(COUNTIF($A109:$A$210,A109)=1,1,""),"")</f>
        <v>1</v>
      </c>
    </row>
    <row r="110" ht="31.5" spans="1:8">
      <c r="A110" s="289" t="s">
        <v>191</v>
      </c>
      <c r="B110" s="294"/>
      <c r="C110" s="295"/>
      <c r="E110" s="265" t="s">
        <v>225</v>
      </c>
      <c r="F110" s="290" cm="1">
        <f t="array" ref="F110">IFERROR(INDEX(交易历史!C:C,MATCH(1,(交易历史!A:A=A110)*(交易历史!E:E="四轮交易"),0)),IFERROR(INDEX(交易历史!C:C,MATCH(1,(交易历史!A:A=A110)*(交易历史!E:E="三轮交易"),0)),IFERROR(INDEX(交易历史!C:C,MATCH(1,(交易历史!A:A=A110)*(交易历史!E:E="二轮交易"),0)),IFERROR(INDEX(交易历史!C:C,MATCH(1,(交易历史!A:A=A110)*(交易历史!E:E="首轮交易"),0)),""))))</f>
        <v>0</v>
      </c>
      <c r="G110" s="291">
        <f>IF(A110&lt;&gt;"",_xlfn.MAXIFS($B$12:$B$210,$A$12:$A$210,A110),"")</f>
        <v>0</v>
      </c>
      <c r="H110" s="267">
        <f>IF(A110&lt;&gt;"",IF(COUNTIF($A110:$A$210,A110)=1,1,""),"")</f>
        <v>1</v>
      </c>
    </row>
    <row r="111" ht="31.5" spans="1:8">
      <c r="A111" s="289" t="s">
        <v>193</v>
      </c>
      <c r="B111" s="294"/>
      <c r="C111" s="295"/>
      <c r="E111" s="265" t="s">
        <v>225</v>
      </c>
      <c r="F111" s="290" cm="1">
        <f t="array" ref="F111">IFERROR(INDEX(交易历史!C:C,MATCH(1,(交易历史!A:A=A111)*(交易历史!E:E="四轮交易"),0)),IFERROR(INDEX(交易历史!C:C,MATCH(1,(交易历史!A:A=A111)*(交易历史!E:E="三轮交易"),0)),IFERROR(INDEX(交易历史!C:C,MATCH(1,(交易历史!A:A=A111)*(交易历史!E:E="二轮交易"),0)),IFERROR(INDEX(交易历史!C:C,MATCH(1,(交易历史!A:A=A111)*(交易历史!E:E="首轮交易"),0)),""))))</f>
        <v>0</v>
      </c>
      <c r="G111" s="291">
        <f>IF(A111&lt;&gt;"",_xlfn.MAXIFS($B$12:$B$210,$A$12:$A$210,A111),"")</f>
        <v>0</v>
      </c>
      <c r="H111" s="267">
        <f>IF(A111&lt;&gt;"",IF(COUNTIF($A111:$A$210,A111)=1,1,""),"")</f>
        <v>1</v>
      </c>
    </row>
    <row r="112" ht="31.5" spans="1:8">
      <c r="A112" s="289" t="s">
        <v>195</v>
      </c>
      <c r="B112" s="294"/>
      <c r="C112" s="295"/>
      <c r="E112" s="265" t="s">
        <v>225</v>
      </c>
      <c r="F112" s="290" cm="1">
        <f t="array" ref="F112">IFERROR(INDEX(交易历史!C:C,MATCH(1,(交易历史!A:A=A112)*(交易历史!E:E="四轮交易"),0)),IFERROR(INDEX(交易历史!C:C,MATCH(1,(交易历史!A:A=A112)*(交易历史!E:E="三轮交易"),0)),IFERROR(INDEX(交易历史!C:C,MATCH(1,(交易历史!A:A=A112)*(交易历史!E:E="二轮交易"),0)),IFERROR(INDEX(交易历史!C:C,MATCH(1,(交易历史!A:A=A112)*(交易历史!E:E="首轮交易"),0)),""))))</f>
        <v>0</v>
      </c>
      <c r="G112" s="291">
        <f>IF(A112&lt;&gt;"",_xlfn.MAXIFS($B$12:$B$210,$A$12:$A$210,A112),"")</f>
        <v>0</v>
      </c>
      <c r="H112" s="267">
        <f>IF(A112&lt;&gt;"",IF(COUNTIF($A112:$A$210,A112)=1,1,""),"")</f>
        <v>1</v>
      </c>
    </row>
    <row r="113" ht="31.5" spans="1:8">
      <c r="A113" s="289" t="s">
        <v>197</v>
      </c>
      <c r="B113" s="294"/>
      <c r="C113" s="295"/>
      <c r="E113" s="265" t="s">
        <v>225</v>
      </c>
      <c r="F113" s="290" cm="1">
        <f t="array" ref="F113">IFERROR(INDEX(交易历史!C:C,MATCH(1,(交易历史!A:A=A113)*(交易历史!E:E="四轮交易"),0)),IFERROR(INDEX(交易历史!C:C,MATCH(1,(交易历史!A:A=A113)*(交易历史!E:E="三轮交易"),0)),IFERROR(INDEX(交易历史!C:C,MATCH(1,(交易历史!A:A=A113)*(交易历史!E:E="二轮交易"),0)),IFERROR(INDEX(交易历史!C:C,MATCH(1,(交易历史!A:A=A113)*(交易历史!E:E="首轮交易"),0)),""))))</f>
        <v>0</v>
      </c>
      <c r="G113" s="291">
        <f>IF(A113&lt;&gt;"",_xlfn.MAXIFS($B$12:$B$210,$A$12:$A$210,A113),"")</f>
        <v>0</v>
      </c>
      <c r="H113" s="267">
        <f>IF(A113&lt;&gt;"",IF(COUNTIF($A113:$A$210,A113)=1,1,""),"")</f>
        <v>1</v>
      </c>
    </row>
    <row r="114" ht="31.5" spans="1:8">
      <c r="A114" s="289" t="s">
        <v>199</v>
      </c>
      <c r="B114" s="294"/>
      <c r="C114" s="295"/>
      <c r="E114" s="265" t="s">
        <v>225</v>
      </c>
      <c r="F114" s="290" cm="1">
        <f t="array" ref="F114">IFERROR(INDEX(交易历史!C:C,MATCH(1,(交易历史!A:A=A114)*(交易历史!E:E="四轮交易"),0)),IFERROR(INDEX(交易历史!C:C,MATCH(1,(交易历史!A:A=A114)*(交易历史!E:E="三轮交易"),0)),IFERROR(INDEX(交易历史!C:C,MATCH(1,(交易历史!A:A=A114)*(交易历史!E:E="二轮交易"),0)),IFERROR(INDEX(交易历史!C:C,MATCH(1,(交易历史!A:A=A114)*(交易历史!E:E="首轮交易"),0)),""))))</f>
        <v>0</v>
      </c>
      <c r="G114" s="291">
        <f>IF(A114&lt;&gt;"",_xlfn.MAXIFS($B$12:$B$210,$A$12:$A$210,A114),"")</f>
        <v>0</v>
      </c>
      <c r="H114" s="267">
        <f>IF(A114&lt;&gt;"",IF(COUNTIF($A114:$A$210,A114)=1,1,""),"")</f>
        <v>1</v>
      </c>
    </row>
    <row r="115" ht="31.5" spans="1:8">
      <c r="A115" s="289" t="s">
        <v>201</v>
      </c>
      <c r="B115" s="294"/>
      <c r="C115" s="295"/>
      <c r="E115" s="265" t="s">
        <v>225</v>
      </c>
      <c r="F115" s="290" cm="1">
        <f t="array" ref="F115">IFERROR(INDEX(交易历史!C:C,MATCH(1,(交易历史!A:A=A115)*(交易历史!E:E="四轮交易"),0)),IFERROR(INDEX(交易历史!C:C,MATCH(1,(交易历史!A:A=A115)*(交易历史!E:E="三轮交易"),0)),IFERROR(INDEX(交易历史!C:C,MATCH(1,(交易历史!A:A=A115)*(交易历史!E:E="二轮交易"),0)),IFERROR(INDEX(交易历史!C:C,MATCH(1,(交易历史!A:A=A115)*(交易历史!E:E="首轮交易"),0)),""))))</f>
        <v>0</v>
      </c>
      <c r="G115" s="291">
        <f>IF(A115&lt;&gt;"",_xlfn.MAXIFS($B$12:$B$210,$A$12:$A$210,A115),"")</f>
        <v>0</v>
      </c>
      <c r="H115" s="267">
        <f>IF(A115&lt;&gt;"",IF(COUNTIF($A115:$A$210,A115)=1,1,""),"")</f>
        <v>1</v>
      </c>
    </row>
    <row r="116" ht="31.5" spans="1:8">
      <c r="A116" s="289" t="s">
        <v>203</v>
      </c>
      <c r="B116" s="294"/>
      <c r="C116" s="295"/>
      <c r="E116" s="265" t="s">
        <v>225</v>
      </c>
      <c r="F116" s="290" cm="1">
        <f t="array" ref="F116">IFERROR(INDEX(交易历史!C:C,MATCH(1,(交易历史!A:A=A116)*(交易历史!E:E="四轮交易"),0)),IFERROR(INDEX(交易历史!C:C,MATCH(1,(交易历史!A:A=A116)*(交易历史!E:E="三轮交易"),0)),IFERROR(INDEX(交易历史!C:C,MATCH(1,(交易历史!A:A=A116)*(交易历史!E:E="二轮交易"),0)),IFERROR(INDEX(交易历史!C:C,MATCH(1,(交易历史!A:A=A116)*(交易历史!E:E="首轮交易"),0)),""))))</f>
        <v>0</v>
      </c>
      <c r="G116" s="291">
        <f>IF(A116&lt;&gt;"",_xlfn.MAXIFS($B$12:$B$210,$A$12:$A$210,A116),"")</f>
        <v>0</v>
      </c>
      <c r="H116" s="267">
        <f>IF(A116&lt;&gt;"",IF(COUNTIF($A116:$A$210,A116)=1,1,""),"")</f>
        <v>1</v>
      </c>
    </row>
    <row r="117" ht="31.5" spans="1:8">
      <c r="A117" s="289" t="s">
        <v>205</v>
      </c>
      <c r="B117" s="294"/>
      <c r="C117" s="295"/>
      <c r="E117" s="265" t="s">
        <v>225</v>
      </c>
      <c r="F117" s="290" cm="1">
        <f t="array" ref="F117">IFERROR(INDEX(交易历史!C:C,MATCH(1,(交易历史!A:A=A117)*(交易历史!E:E="四轮交易"),0)),IFERROR(INDEX(交易历史!C:C,MATCH(1,(交易历史!A:A=A117)*(交易历史!E:E="三轮交易"),0)),IFERROR(INDEX(交易历史!C:C,MATCH(1,(交易历史!A:A=A117)*(交易历史!E:E="二轮交易"),0)),IFERROR(INDEX(交易历史!C:C,MATCH(1,(交易历史!A:A=A117)*(交易历史!E:E="首轮交易"),0)),""))))</f>
        <v>0</v>
      </c>
      <c r="G117" s="291">
        <f>IF(A117&lt;&gt;"",_xlfn.MAXIFS($B$12:$B$210,$A$12:$A$210,A117),"")</f>
        <v>0</v>
      </c>
      <c r="H117" s="267">
        <f>IF(A117&lt;&gt;"",IF(COUNTIF($A117:$A$210,A117)=1,1,""),"")</f>
        <v>1</v>
      </c>
    </row>
    <row r="118" ht="31.5" spans="1:8">
      <c r="A118" s="289" t="s">
        <v>207</v>
      </c>
      <c r="B118" s="294"/>
      <c r="C118" s="295"/>
      <c r="E118" s="265" t="s">
        <v>225</v>
      </c>
      <c r="F118" s="290" cm="1">
        <f t="array" ref="F118">IFERROR(INDEX(交易历史!C:C,MATCH(1,(交易历史!A:A=A118)*(交易历史!E:E="四轮交易"),0)),IFERROR(INDEX(交易历史!C:C,MATCH(1,(交易历史!A:A=A118)*(交易历史!E:E="三轮交易"),0)),IFERROR(INDEX(交易历史!C:C,MATCH(1,(交易历史!A:A=A118)*(交易历史!E:E="二轮交易"),0)),IFERROR(INDEX(交易历史!C:C,MATCH(1,(交易历史!A:A=A118)*(交易历史!E:E="首轮交易"),0)),""))))</f>
        <v>0</v>
      </c>
      <c r="G118" s="291">
        <f>IF(A118&lt;&gt;"",_xlfn.MAXIFS($B$12:$B$210,$A$12:$A$210,A118),"")</f>
        <v>0</v>
      </c>
      <c r="H118" s="267">
        <f>IF(A118&lt;&gt;"",IF(COUNTIF($A118:$A$210,A118)=1,1,""),"")</f>
        <v>1</v>
      </c>
    </row>
    <row r="119" ht="31.5" spans="1:8">
      <c r="A119" s="289" t="s">
        <v>208</v>
      </c>
      <c r="B119" s="294"/>
      <c r="C119" s="295"/>
      <c r="E119" s="265" t="s">
        <v>225</v>
      </c>
      <c r="F119" s="290" cm="1">
        <f t="array" ref="F119">IFERROR(INDEX(交易历史!C:C,MATCH(1,(交易历史!A:A=A119)*(交易历史!E:E="四轮交易"),0)),IFERROR(INDEX(交易历史!C:C,MATCH(1,(交易历史!A:A=A119)*(交易历史!E:E="三轮交易"),0)),IFERROR(INDEX(交易历史!C:C,MATCH(1,(交易历史!A:A=A119)*(交易历史!E:E="二轮交易"),0)),IFERROR(INDEX(交易历史!C:C,MATCH(1,(交易历史!A:A=A119)*(交易历史!E:E="首轮交易"),0)),""))))</f>
        <v>0</v>
      </c>
      <c r="G119" s="291">
        <f>IF(A119&lt;&gt;"",_xlfn.MAXIFS($B$12:$B$210,$A$12:$A$210,A119),"")</f>
        <v>0</v>
      </c>
      <c r="H119" s="267">
        <f>IF(A119&lt;&gt;"",IF(COUNTIF($A119:$A$210,A119)=1,1,""),"")</f>
        <v>1</v>
      </c>
    </row>
    <row r="120" ht="31.5" spans="1:8">
      <c r="A120" s="289" t="s">
        <v>209</v>
      </c>
      <c r="B120" s="294"/>
      <c r="C120" s="295"/>
      <c r="E120" s="265" t="s">
        <v>225</v>
      </c>
      <c r="F120" s="290" cm="1">
        <f t="array" ref="F120">IFERROR(INDEX(交易历史!C:C,MATCH(1,(交易历史!A:A=A120)*(交易历史!E:E="四轮交易"),0)),IFERROR(INDEX(交易历史!C:C,MATCH(1,(交易历史!A:A=A120)*(交易历史!E:E="三轮交易"),0)),IFERROR(INDEX(交易历史!C:C,MATCH(1,(交易历史!A:A=A120)*(交易历史!E:E="二轮交易"),0)),IFERROR(INDEX(交易历史!C:C,MATCH(1,(交易历史!A:A=A120)*(交易历史!E:E="首轮交易"),0)),""))))</f>
        <v>0</v>
      </c>
      <c r="G120" s="291">
        <f>IF(A120&lt;&gt;"",_xlfn.MAXIFS($B$12:$B$210,$A$12:$A$210,A120),"")</f>
        <v>0</v>
      </c>
      <c r="H120" s="267">
        <f>IF(A120&lt;&gt;"",IF(COUNTIF($A120:$A$210,A120)=1,1,""),"")</f>
        <v>1</v>
      </c>
    </row>
    <row r="121" ht="31.5" spans="1:8">
      <c r="A121" s="289" t="s">
        <v>210</v>
      </c>
      <c r="B121" s="294"/>
      <c r="C121" s="295"/>
      <c r="E121" s="265" t="s">
        <v>225</v>
      </c>
      <c r="F121" s="290" cm="1">
        <f t="array" ref="F121">IFERROR(INDEX(交易历史!C:C,MATCH(1,(交易历史!A:A=A121)*(交易历史!E:E="四轮交易"),0)),IFERROR(INDEX(交易历史!C:C,MATCH(1,(交易历史!A:A=A121)*(交易历史!E:E="三轮交易"),0)),IFERROR(INDEX(交易历史!C:C,MATCH(1,(交易历史!A:A=A121)*(交易历史!E:E="二轮交易"),0)),IFERROR(INDEX(交易历史!C:C,MATCH(1,(交易历史!A:A=A121)*(交易历史!E:E="首轮交易"),0)),""))))</f>
        <v>0</v>
      </c>
      <c r="G121" s="291">
        <f>IF(A121&lt;&gt;"",_xlfn.MAXIFS($B$12:$B$210,$A$12:$A$210,A121),"")</f>
        <v>0</v>
      </c>
      <c r="H121" s="267">
        <f>IF(A121&lt;&gt;"",IF(COUNTIF($A121:$A$210,A121)=1,1,""),"")</f>
        <v>1</v>
      </c>
    </row>
    <row r="122" ht="31.5" spans="1:8">
      <c r="A122" s="289" t="s">
        <v>212</v>
      </c>
      <c r="B122" s="294"/>
      <c r="C122" s="295"/>
      <c r="E122" s="265" t="s">
        <v>225</v>
      </c>
      <c r="F122" s="290" cm="1">
        <f t="array" ref="F122">IFERROR(INDEX(交易历史!C:C,MATCH(1,(交易历史!A:A=A122)*(交易历史!E:E="四轮交易"),0)),IFERROR(INDEX(交易历史!C:C,MATCH(1,(交易历史!A:A=A122)*(交易历史!E:E="三轮交易"),0)),IFERROR(INDEX(交易历史!C:C,MATCH(1,(交易历史!A:A=A122)*(交易历史!E:E="二轮交易"),0)),IFERROR(INDEX(交易历史!C:C,MATCH(1,(交易历史!A:A=A122)*(交易历史!E:E="首轮交易"),0)),""))))</f>
        <v>0</v>
      </c>
      <c r="G122" s="291">
        <f>IF(A122&lt;&gt;"",_xlfn.MAXIFS($B$12:$B$210,$A$12:$A$210,A122),"")</f>
        <v>0</v>
      </c>
      <c r="H122" s="267">
        <f>IF(A122&lt;&gt;"",IF(COUNTIF($A122:$A$210,A122)=1,1,""),"")</f>
        <v>1</v>
      </c>
    </row>
    <row r="123" ht="31.5" spans="1:8">
      <c r="A123" s="289" t="s">
        <v>213</v>
      </c>
      <c r="B123" s="294"/>
      <c r="C123" s="295"/>
      <c r="E123" s="265" t="s">
        <v>225</v>
      </c>
      <c r="F123" s="290" cm="1">
        <f t="array" ref="F123">IFERROR(INDEX(交易历史!C:C,MATCH(1,(交易历史!A:A=A123)*(交易历史!E:E="四轮交易"),0)),IFERROR(INDEX(交易历史!C:C,MATCH(1,(交易历史!A:A=A123)*(交易历史!E:E="三轮交易"),0)),IFERROR(INDEX(交易历史!C:C,MATCH(1,(交易历史!A:A=A123)*(交易历史!E:E="二轮交易"),0)),IFERROR(INDEX(交易历史!C:C,MATCH(1,(交易历史!A:A=A123)*(交易历史!E:E="首轮交易"),0)),""))))</f>
        <v>0</v>
      </c>
      <c r="G123" s="291">
        <f>IF(A123&lt;&gt;"",_xlfn.MAXIFS($B$12:$B$210,$A$12:$A$210,A123),"")</f>
        <v>0</v>
      </c>
      <c r="H123" s="267">
        <f>IF(A123&lt;&gt;"",IF(COUNTIF($A123:$A$210,A123)=1,1,""),"")</f>
        <v>1</v>
      </c>
    </row>
    <row r="124" ht="31.5" spans="1:8">
      <c r="A124" s="289" t="s">
        <v>214</v>
      </c>
      <c r="B124" s="294"/>
      <c r="C124" s="295"/>
      <c r="E124" s="265" t="s">
        <v>225</v>
      </c>
      <c r="F124" s="290" cm="1">
        <f t="array" ref="F124">IFERROR(INDEX(交易历史!C:C,MATCH(1,(交易历史!A:A=A124)*(交易历史!E:E="四轮交易"),0)),IFERROR(INDEX(交易历史!C:C,MATCH(1,(交易历史!A:A=A124)*(交易历史!E:E="三轮交易"),0)),IFERROR(INDEX(交易历史!C:C,MATCH(1,(交易历史!A:A=A124)*(交易历史!E:E="二轮交易"),0)),IFERROR(INDEX(交易历史!C:C,MATCH(1,(交易历史!A:A=A124)*(交易历史!E:E="首轮交易"),0)),""))))</f>
        <v>0</v>
      </c>
      <c r="G124" s="291">
        <f>IF(A124&lt;&gt;"",_xlfn.MAXIFS($B$12:$B$210,$A$12:$A$210,A124),"")</f>
        <v>0</v>
      </c>
      <c r="H124" s="267">
        <f>IF(A124&lt;&gt;"",IF(COUNTIF($A124:$A$210,A124)=1,1,""),"")</f>
        <v>1</v>
      </c>
    </row>
    <row r="125" ht="31.5" spans="1:8">
      <c r="A125" s="289" t="s">
        <v>216</v>
      </c>
      <c r="B125" s="294"/>
      <c r="C125" s="295"/>
      <c r="E125" s="265" t="s">
        <v>225</v>
      </c>
      <c r="F125" s="290" cm="1">
        <f t="array" ref="F125">IFERROR(INDEX(交易历史!C:C,MATCH(1,(交易历史!A:A=A125)*(交易历史!E:E="四轮交易"),0)),IFERROR(INDEX(交易历史!C:C,MATCH(1,(交易历史!A:A=A125)*(交易历史!E:E="三轮交易"),0)),IFERROR(INDEX(交易历史!C:C,MATCH(1,(交易历史!A:A=A125)*(交易历史!E:E="二轮交易"),0)),IFERROR(INDEX(交易历史!C:C,MATCH(1,(交易历史!A:A=A125)*(交易历史!E:E="首轮交易"),0)),""))))</f>
        <v>0</v>
      </c>
      <c r="G125" s="291">
        <f>IF(A125&lt;&gt;"",_xlfn.MAXIFS($B$12:$B$210,$A$12:$A$210,A125),"")</f>
        <v>0</v>
      </c>
      <c r="H125" s="267">
        <f>IF(A125&lt;&gt;"",IF(COUNTIF($A125:$A$210,A125)=1,1,""),"")</f>
        <v>1</v>
      </c>
    </row>
    <row r="126" ht="31.5" spans="1:8">
      <c r="A126" s="289"/>
      <c r="B126" s="294"/>
      <c r="C126" s="295"/>
      <c r="D126" s="264"/>
      <c r="E126" s="265"/>
      <c r="F126" s="290" t="str" cm="1">
        <f t="array" ref="F126">IFERROR(INDEX(交易历史!C:C,MATCH(1,(交易历史!A:A=A126)*(交易历史!E:E="四轮交易"),0)),IFERROR(INDEX(交易历史!C:C,MATCH(1,(交易历史!A:A=A126)*(交易历史!E:E="三轮交易"),0)),IFERROR(INDEX(交易历史!C:C,MATCH(1,(交易历史!A:A=A126)*(交易历史!E:E="二轮交易"),0)),IFERROR(INDEX(交易历史!C:C,MATCH(1,(交易历史!A:A=A126)*(交易历史!E:E="首轮交易"),0)),""))))</f>
        <v/>
      </c>
      <c r="G126" s="291" t="str">
        <f>IF(A126&lt;&gt;"",_xlfn.MAXIFS($B$12:$B$210,$A$12:$A$210,A126),"")</f>
        <v/>
      </c>
      <c r="H126" s="267" t="str">
        <f>IF(A126&lt;&gt;"",IF(COUNTIF($A126:$A$210,A126)=1,1,""),"")</f>
        <v/>
      </c>
    </row>
    <row r="127" ht="31.5" spans="1:8">
      <c r="A127" s="289"/>
      <c r="B127" s="294"/>
      <c r="C127" s="295"/>
      <c r="D127" s="264"/>
      <c r="E127" s="265"/>
      <c r="F127" s="290" t="str" cm="1">
        <f t="array" ref="F127">IFERROR(INDEX(交易历史!C:C,MATCH(1,(交易历史!A:A=A127)*(交易历史!E:E="四轮交易"),0)),IFERROR(INDEX(交易历史!C:C,MATCH(1,(交易历史!A:A=A127)*(交易历史!E:E="三轮交易"),0)),IFERROR(INDEX(交易历史!C:C,MATCH(1,(交易历史!A:A=A127)*(交易历史!E:E="二轮交易"),0)),IFERROR(INDEX(交易历史!C:C,MATCH(1,(交易历史!A:A=A127)*(交易历史!E:E="首轮交易"),0)),""))))</f>
        <v/>
      </c>
      <c r="G127" s="291" t="str">
        <f>IF(A127&lt;&gt;"",_xlfn.MAXIFS($B$12:$B$210,$A$12:$A$210,A127),"")</f>
        <v/>
      </c>
      <c r="H127" s="267" t="str">
        <f>IF(A127&lt;&gt;"",IF(COUNTIF($A127:$A$210,A127)=1,1,""),"")</f>
        <v/>
      </c>
    </row>
    <row r="128" ht="31.5" spans="1:8">
      <c r="A128" s="289"/>
      <c r="B128" s="294"/>
      <c r="C128" s="295"/>
      <c r="D128" s="264"/>
      <c r="E128" s="265"/>
      <c r="F128" s="290" t="str" cm="1">
        <f t="array" ref="F128">IFERROR(INDEX(交易历史!C:C,MATCH(1,(交易历史!A:A=A128)*(交易历史!E:E="四轮交易"),0)),IFERROR(INDEX(交易历史!C:C,MATCH(1,(交易历史!A:A=A128)*(交易历史!E:E="三轮交易"),0)),IFERROR(INDEX(交易历史!C:C,MATCH(1,(交易历史!A:A=A128)*(交易历史!E:E="二轮交易"),0)),IFERROR(INDEX(交易历史!C:C,MATCH(1,(交易历史!A:A=A128)*(交易历史!E:E="首轮交易"),0)),""))))</f>
        <v/>
      </c>
      <c r="G128" s="291" t="str">
        <f>IF(A128&lt;&gt;"",_xlfn.MAXIFS($B$12:$B$210,$A$12:$A$210,A128),"")</f>
        <v/>
      </c>
      <c r="H128" s="267" t="str">
        <f>IF(A128&lt;&gt;"",IF(COUNTIF($A128:$A$210,A128)=1,1,""),"")</f>
        <v/>
      </c>
    </row>
    <row r="129" spans="1:8">
      <c r="A129" s="296"/>
      <c r="B129" s="294"/>
      <c r="C129" s="295"/>
      <c r="F129" s="290" t="str" cm="1">
        <f t="array" ref="F129">IFERROR(INDEX(交易历史!C:C,MATCH(1,(交易历史!A:A=A129)*(交易历史!E:E="四轮交易"),0)),IFERROR(INDEX(交易历史!C:C,MATCH(1,(交易历史!A:A=A129)*(交易历史!E:E="三轮交易"),0)),IFERROR(INDEX(交易历史!C:C,MATCH(1,(交易历史!A:A=A129)*(交易历史!E:E="二轮交易"),0)),IFERROR(INDEX(交易历史!C:C,MATCH(1,(交易历史!A:A=A129)*(交易历史!E:E="首轮交易"),0)),""))))</f>
        <v/>
      </c>
      <c r="G129" s="291" t="str">
        <f>IF(A129&lt;&gt;"",_xlfn.MAXIFS($B$12:$B$210,$A$12:$A$210,A129),"")</f>
        <v/>
      </c>
      <c r="H129" s="267" t="str">
        <f>IF(A129&lt;&gt;"",IF(COUNTIF($A129:$A$210,A129)=1,1,""),"")</f>
        <v/>
      </c>
    </row>
    <row r="130" spans="1:8">
      <c r="A130" s="296"/>
      <c r="B130" s="294"/>
      <c r="C130" s="295"/>
      <c r="F130" s="290" t="str" cm="1">
        <f t="array" ref="F130">IFERROR(INDEX(交易历史!C:C,MATCH(1,(交易历史!A:A=A130)*(交易历史!E:E="四轮交易"),0)),IFERROR(INDEX(交易历史!C:C,MATCH(1,(交易历史!A:A=A130)*(交易历史!E:E="三轮交易"),0)),IFERROR(INDEX(交易历史!C:C,MATCH(1,(交易历史!A:A=A130)*(交易历史!E:E="二轮交易"),0)),IFERROR(INDEX(交易历史!C:C,MATCH(1,(交易历史!A:A=A130)*(交易历史!E:E="首轮交易"),0)),""))))</f>
        <v/>
      </c>
      <c r="G130" s="291" t="str">
        <f>IF(A130&lt;&gt;"",_xlfn.MAXIFS($B$12:$B$210,$A$12:$A$210,A130),"")</f>
        <v/>
      </c>
      <c r="H130" s="267" t="str">
        <f>IF(A130&lt;&gt;"",IF(COUNTIF($A130:$A$210,A130)=1,1,""),"")</f>
        <v/>
      </c>
    </row>
    <row r="131" spans="1:8">
      <c r="A131" s="296"/>
      <c r="B131" s="294"/>
      <c r="C131" s="295"/>
      <c r="F131" s="290" t="str" cm="1">
        <f t="array" ref="F131">IFERROR(INDEX(交易历史!C:C,MATCH(1,(交易历史!A:A=A131)*(交易历史!E:E="四轮交易"),0)),IFERROR(INDEX(交易历史!C:C,MATCH(1,(交易历史!A:A=A131)*(交易历史!E:E="三轮交易"),0)),IFERROR(INDEX(交易历史!C:C,MATCH(1,(交易历史!A:A=A131)*(交易历史!E:E="二轮交易"),0)),IFERROR(INDEX(交易历史!C:C,MATCH(1,(交易历史!A:A=A131)*(交易历史!E:E="首轮交易"),0)),""))))</f>
        <v/>
      </c>
      <c r="G131" s="291" t="str">
        <f>IF(A131&lt;&gt;"",_xlfn.MAXIFS($B$12:$B$210,$A$12:$A$210,A131),"")</f>
        <v/>
      </c>
      <c r="H131" s="267" t="str">
        <f>IF(A131&lt;&gt;"",IF(COUNTIF($A131:$A$210,A131)=1,1,""),"")</f>
        <v/>
      </c>
    </row>
    <row r="132" spans="1:8">
      <c r="A132" s="296"/>
      <c r="B132" s="294"/>
      <c r="C132" s="295"/>
      <c r="F132" s="290" t="str" cm="1">
        <f t="array" ref="F132">IFERROR(INDEX(交易历史!C:C,MATCH(1,(交易历史!A:A=A132)*(交易历史!E:E="四轮交易"),0)),IFERROR(INDEX(交易历史!C:C,MATCH(1,(交易历史!A:A=A132)*(交易历史!E:E="三轮交易"),0)),IFERROR(INDEX(交易历史!C:C,MATCH(1,(交易历史!A:A=A132)*(交易历史!E:E="二轮交易"),0)),IFERROR(INDEX(交易历史!C:C,MATCH(1,(交易历史!A:A=A132)*(交易历史!E:E="首轮交易"),0)),""))))</f>
        <v/>
      </c>
      <c r="G132" s="291" t="str">
        <f>IF(A132&lt;&gt;"",_xlfn.MAXIFS($B$12:$B$210,$A$12:$A$210,A132),"")</f>
        <v/>
      </c>
      <c r="H132" s="267" t="str">
        <f>IF(A132&lt;&gt;"",IF(COUNTIF($A132:$A$210,A132)=1,1,""),"")</f>
        <v/>
      </c>
    </row>
    <row r="133" spans="1:8">
      <c r="A133" s="296"/>
      <c r="B133" s="294"/>
      <c r="C133" s="295"/>
      <c r="F133" s="290" t="str" cm="1">
        <f t="array" ref="F133">IFERROR(INDEX(交易历史!C:C,MATCH(1,(交易历史!A:A=A133)*(交易历史!E:E="四轮交易"),0)),IFERROR(INDEX(交易历史!C:C,MATCH(1,(交易历史!A:A=A133)*(交易历史!E:E="三轮交易"),0)),IFERROR(INDEX(交易历史!C:C,MATCH(1,(交易历史!A:A=A133)*(交易历史!E:E="二轮交易"),0)),IFERROR(INDEX(交易历史!C:C,MATCH(1,(交易历史!A:A=A133)*(交易历史!E:E="首轮交易"),0)),""))))</f>
        <v/>
      </c>
      <c r="G133" s="291" t="str">
        <f>IF(A133&lt;&gt;"",_xlfn.MAXIFS($B$12:$B$210,$A$12:$A$210,A133),"")</f>
        <v/>
      </c>
      <c r="H133" s="267" t="str">
        <f>IF(A133&lt;&gt;"",IF(COUNTIF($A133:$A$210,A133)=1,1,""),"")</f>
        <v/>
      </c>
    </row>
    <row r="134" spans="1:8">
      <c r="A134" s="296"/>
      <c r="B134" s="294"/>
      <c r="C134" s="295"/>
      <c r="F134" s="290" t="str" cm="1">
        <f t="array" ref="F134">IFERROR(INDEX(交易历史!C:C,MATCH(1,(交易历史!A:A=A134)*(交易历史!E:E="四轮交易"),0)),IFERROR(INDEX(交易历史!C:C,MATCH(1,(交易历史!A:A=A134)*(交易历史!E:E="三轮交易"),0)),IFERROR(INDEX(交易历史!C:C,MATCH(1,(交易历史!A:A=A134)*(交易历史!E:E="二轮交易"),0)),IFERROR(INDEX(交易历史!C:C,MATCH(1,(交易历史!A:A=A134)*(交易历史!E:E="首轮交易"),0)),""))))</f>
        <v/>
      </c>
      <c r="G134" s="291" t="str">
        <f>IF(A134&lt;&gt;"",_xlfn.MAXIFS($B$12:$B$210,$A$12:$A$210,A134),"")</f>
        <v/>
      </c>
      <c r="H134" s="267" t="str">
        <f>IF(A134&lt;&gt;"",IF(COUNTIF($A134:$A$210,A134)=1,1,""),"")</f>
        <v/>
      </c>
    </row>
    <row r="135" spans="1:8">
      <c r="A135" s="296"/>
      <c r="B135" s="294"/>
      <c r="C135" s="295"/>
      <c r="F135" s="290" t="str" cm="1">
        <f t="array" ref="F135">IFERROR(INDEX(交易历史!C:C,MATCH(1,(交易历史!A:A=A135)*(交易历史!E:E="四轮交易"),0)),IFERROR(INDEX(交易历史!C:C,MATCH(1,(交易历史!A:A=A135)*(交易历史!E:E="三轮交易"),0)),IFERROR(INDEX(交易历史!C:C,MATCH(1,(交易历史!A:A=A135)*(交易历史!E:E="二轮交易"),0)),IFERROR(INDEX(交易历史!C:C,MATCH(1,(交易历史!A:A=A135)*(交易历史!E:E="首轮交易"),0)),""))))</f>
        <v/>
      </c>
      <c r="G135" s="291" t="str">
        <f>IF(A135&lt;&gt;"",_xlfn.MAXIFS($B$12:$B$210,$A$12:$A$210,A135),"")</f>
        <v/>
      </c>
      <c r="H135" s="267" t="str">
        <f>IF(A135&lt;&gt;"",IF(COUNTIF($A135:$A$210,A135)=1,1,""),"")</f>
        <v/>
      </c>
    </row>
    <row r="136" spans="1:8">
      <c r="A136" s="296"/>
      <c r="B136" s="294"/>
      <c r="C136" s="295"/>
      <c r="F136" s="290" t="str" cm="1">
        <f t="array" ref="F136">IFERROR(INDEX(交易历史!C:C,MATCH(1,(交易历史!A:A=A136)*(交易历史!E:E="四轮交易"),0)),IFERROR(INDEX(交易历史!C:C,MATCH(1,(交易历史!A:A=A136)*(交易历史!E:E="三轮交易"),0)),IFERROR(INDEX(交易历史!C:C,MATCH(1,(交易历史!A:A=A136)*(交易历史!E:E="二轮交易"),0)),IFERROR(INDEX(交易历史!C:C,MATCH(1,(交易历史!A:A=A136)*(交易历史!E:E="首轮交易"),0)),""))))</f>
        <v/>
      </c>
      <c r="G136" s="291" t="str">
        <f>IF(A136&lt;&gt;"",_xlfn.MAXIFS($B$12:$B$210,$A$12:$A$210,A136),"")</f>
        <v/>
      </c>
      <c r="H136" s="267" t="str">
        <f>IF(A136&lt;&gt;"",IF(COUNTIF($A136:$A$210,A136)=1,1,""),"")</f>
        <v/>
      </c>
    </row>
    <row r="137" spans="1:8">
      <c r="A137" s="296"/>
      <c r="B137" s="294"/>
      <c r="C137" s="295"/>
      <c r="F137" s="290" t="str" cm="1">
        <f t="array" ref="F137">IFERROR(INDEX(交易历史!C:C,MATCH(1,(交易历史!A:A=A137)*(交易历史!E:E="四轮交易"),0)),IFERROR(INDEX(交易历史!C:C,MATCH(1,(交易历史!A:A=A137)*(交易历史!E:E="三轮交易"),0)),IFERROR(INDEX(交易历史!C:C,MATCH(1,(交易历史!A:A=A137)*(交易历史!E:E="二轮交易"),0)),IFERROR(INDEX(交易历史!C:C,MATCH(1,(交易历史!A:A=A137)*(交易历史!E:E="首轮交易"),0)),""))))</f>
        <v/>
      </c>
      <c r="G137" s="291" t="str">
        <f>IF(A137&lt;&gt;"",_xlfn.MAXIFS($B$12:$B$210,$A$12:$A$210,A137),"")</f>
        <v/>
      </c>
      <c r="H137" s="267" t="str">
        <f>IF(A137&lt;&gt;"",IF(COUNTIF($A137:$A$210,A137)=1,1,""),"")</f>
        <v/>
      </c>
    </row>
    <row r="138" spans="1:8">
      <c r="A138" s="296"/>
      <c r="B138" s="294"/>
      <c r="C138" s="295"/>
      <c r="F138" s="290" t="str" cm="1">
        <f t="array" ref="F138">IFERROR(INDEX(交易历史!C:C,MATCH(1,(交易历史!A:A=A138)*(交易历史!E:E="四轮交易"),0)),IFERROR(INDEX(交易历史!C:C,MATCH(1,(交易历史!A:A=A138)*(交易历史!E:E="三轮交易"),0)),IFERROR(INDEX(交易历史!C:C,MATCH(1,(交易历史!A:A=A138)*(交易历史!E:E="二轮交易"),0)),IFERROR(INDEX(交易历史!C:C,MATCH(1,(交易历史!A:A=A138)*(交易历史!E:E="首轮交易"),0)),""))))</f>
        <v/>
      </c>
      <c r="G138" s="291" t="str">
        <f>IF(A138&lt;&gt;"",_xlfn.MAXIFS($B$12:$B$210,$A$12:$A$210,A138),"")</f>
        <v/>
      </c>
      <c r="H138" s="267" t="str">
        <f>IF(A138&lt;&gt;"",IF(COUNTIF($A138:$A$210,A138)=1,1,""),"")</f>
        <v/>
      </c>
    </row>
    <row r="139" spans="1:8">
      <c r="A139" s="296"/>
      <c r="B139" s="294"/>
      <c r="C139" s="295"/>
      <c r="F139" s="290" t="str" cm="1">
        <f t="array" ref="F139">IFERROR(INDEX(交易历史!C:C,MATCH(1,(交易历史!A:A=A139)*(交易历史!E:E="四轮交易"),0)),IFERROR(INDEX(交易历史!C:C,MATCH(1,(交易历史!A:A=A139)*(交易历史!E:E="三轮交易"),0)),IFERROR(INDEX(交易历史!C:C,MATCH(1,(交易历史!A:A=A139)*(交易历史!E:E="二轮交易"),0)),IFERROR(INDEX(交易历史!C:C,MATCH(1,(交易历史!A:A=A139)*(交易历史!E:E="首轮交易"),0)),""))))</f>
        <v/>
      </c>
      <c r="G139" s="291" t="str">
        <f>IF(A139&lt;&gt;"",_xlfn.MAXIFS($B$12:$B$210,$A$12:$A$210,A139),"")</f>
        <v/>
      </c>
      <c r="H139" s="267" t="str">
        <f>IF(A139&lt;&gt;"",IF(COUNTIF($A139:$A$210,A139)=1,1,""),"")</f>
        <v/>
      </c>
    </row>
    <row r="140" spans="1:8">
      <c r="A140" s="296"/>
      <c r="B140" s="294"/>
      <c r="C140" s="295"/>
      <c r="F140" s="290" t="str" cm="1">
        <f t="array" ref="F140">IFERROR(INDEX(交易历史!C:C,MATCH(1,(交易历史!A:A=A140)*(交易历史!E:E="四轮交易"),0)),IFERROR(INDEX(交易历史!C:C,MATCH(1,(交易历史!A:A=A140)*(交易历史!E:E="三轮交易"),0)),IFERROR(INDEX(交易历史!C:C,MATCH(1,(交易历史!A:A=A140)*(交易历史!E:E="二轮交易"),0)),IFERROR(INDEX(交易历史!C:C,MATCH(1,(交易历史!A:A=A140)*(交易历史!E:E="首轮交易"),0)),""))))</f>
        <v/>
      </c>
      <c r="G140" s="291" t="str">
        <f>IF(A140&lt;&gt;"",_xlfn.MAXIFS($B$12:$B$210,$A$12:$A$210,A140),"")</f>
        <v/>
      </c>
      <c r="H140" s="267" t="str">
        <f>IF(A140&lt;&gt;"",IF(COUNTIF($A140:$A$210,A140)=1,1,""),"")</f>
        <v/>
      </c>
    </row>
    <row r="141" spans="1:8">
      <c r="A141" s="296"/>
      <c r="B141" s="294"/>
      <c r="C141" s="295"/>
      <c r="F141" s="290" t="str" cm="1">
        <f t="array" ref="F141">IFERROR(INDEX(交易历史!C:C,MATCH(1,(交易历史!A:A=A141)*(交易历史!E:E="四轮交易"),0)),IFERROR(INDEX(交易历史!C:C,MATCH(1,(交易历史!A:A=A141)*(交易历史!E:E="三轮交易"),0)),IFERROR(INDEX(交易历史!C:C,MATCH(1,(交易历史!A:A=A141)*(交易历史!E:E="二轮交易"),0)),IFERROR(INDEX(交易历史!C:C,MATCH(1,(交易历史!A:A=A141)*(交易历史!E:E="首轮交易"),0)),""))))</f>
        <v/>
      </c>
      <c r="G141" s="291" t="str">
        <f>IF(A141&lt;&gt;"",_xlfn.MAXIFS($B$12:$B$210,$A$12:$A$210,A141),"")</f>
        <v/>
      </c>
      <c r="H141" s="267" t="str">
        <f>IF(A141&lt;&gt;"",IF(COUNTIF($A141:$A$210,A141)=1,1,""),"")</f>
        <v/>
      </c>
    </row>
    <row r="142" spans="1:8">
      <c r="A142" s="296"/>
      <c r="B142" s="294"/>
      <c r="C142" s="295"/>
      <c r="F142" s="290" t="str" cm="1">
        <f t="array" ref="F142">IFERROR(INDEX(交易历史!C:C,MATCH(1,(交易历史!A:A=A142)*(交易历史!E:E="四轮交易"),0)),IFERROR(INDEX(交易历史!C:C,MATCH(1,(交易历史!A:A=A142)*(交易历史!E:E="三轮交易"),0)),IFERROR(INDEX(交易历史!C:C,MATCH(1,(交易历史!A:A=A142)*(交易历史!E:E="二轮交易"),0)),IFERROR(INDEX(交易历史!C:C,MATCH(1,(交易历史!A:A=A142)*(交易历史!E:E="首轮交易"),0)),""))))</f>
        <v/>
      </c>
      <c r="G142" s="291" t="str">
        <f>IF(A142&lt;&gt;"",_xlfn.MAXIFS($B$12:$B$210,$A$12:$A$210,A142),"")</f>
        <v/>
      </c>
      <c r="H142" s="267" t="str">
        <f>IF(A142&lt;&gt;"",IF(COUNTIF($A142:$A$210,A142)=1,1,""),"")</f>
        <v/>
      </c>
    </row>
    <row r="143" spans="1:8">
      <c r="A143" s="296"/>
      <c r="B143" s="294"/>
      <c r="C143" s="295"/>
      <c r="F143" s="290" t="str" cm="1">
        <f t="array" ref="F143">IFERROR(INDEX(交易历史!C:C,MATCH(1,(交易历史!A:A=A143)*(交易历史!E:E="四轮交易"),0)),IFERROR(INDEX(交易历史!C:C,MATCH(1,(交易历史!A:A=A143)*(交易历史!E:E="三轮交易"),0)),IFERROR(INDEX(交易历史!C:C,MATCH(1,(交易历史!A:A=A143)*(交易历史!E:E="二轮交易"),0)),IFERROR(INDEX(交易历史!C:C,MATCH(1,(交易历史!A:A=A143)*(交易历史!E:E="首轮交易"),0)),""))))</f>
        <v/>
      </c>
      <c r="G143" s="291" t="str">
        <f>IF(A143&lt;&gt;"",_xlfn.MAXIFS($B$12:$B$210,$A$12:$A$210,A143),"")</f>
        <v/>
      </c>
      <c r="H143" s="267" t="str">
        <f>IF(A143&lt;&gt;"",IF(COUNTIF($A143:$A$210,A143)=1,1,""),"")</f>
        <v/>
      </c>
    </row>
    <row r="144" spans="1:8">
      <c r="A144" s="296"/>
      <c r="B144" s="294"/>
      <c r="C144" s="295"/>
      <c r="F144" s="290" t="str" cm="1">
        <f t="array" ref="F144">IFERROR(INDEX(交易历史!C:C,MATCH(1,(交易历史!A:A=A144)*(交易历史!E:E="四轮交易"),0)),IFERROR(INDEX(交易历史!C:C,MATCH(1,(交易历史!A:A=A144)*(交易历史!E:E="三轮交易"),0)),IFERROR(INDEX(交易历史!C:C,MATCH(1,(交易历史!A:A=A144)*(交易历史!E:E="二轮交易"),0)),IFERROR(INDEX(交易历史!C:C,MATCH(1,(交易历史!A:A=A144)*(交易历史!E:E="首轮交易"),0)),""))))</f>
        <v/>
      </c>
      <c r="G144" s="291" t="str">
        <f>IF(A144&lt;&gt;"",_xlfn.MAXIFS($B$12:$B$210,$A$12:$A$210,A144),"")</f>
        <v/>
      </c>
      <c r="H144" s="267" t="str">
        <f>IF(A144&lt;&gt;"",IF(COUNTIF($A144:$A$210,A144)=1,1,""),"")</f>
        <v/>
      </c>
    </row>
    <row r="145" spans="1:8">
      <c r="A145" s="297"/>
      <c r="B145" s="294"/>
      <c r="F145" s="290" t="str" cm="1">
        <f t="array" ref="F145">IFERROR(INDEX(交易历史!C:C,MATCH(1,(交易历史!A:A=A145)*(交易历史!E:E="四轮交易"),0)),IFERROR(INDEX(交易历史!C:C,MATCH(1,(交易历史!A:A=A145)*(交易历史!E:E="三轮交易"),0)),IFERROR(INDEX(交易历史!C:C,MATCH(1,(交易历史!A:A=A145)*(交易历史!E:E="二轮交易"),0)),IFERROR(INDEX(交易历史!C:C,MATCH(1,(交易历史!A:A=A145)*(交易历史!E:E="首轮交易"),0)),""))))</f>
        <v/>
      </c>
      <c r="G145" s="291" t="str">
        <f>IF(A145&lt;&gt;"",_xlfn.MAXIFS($B$12:$B$210,$A$12:$A$210,A145),"")</f>
        <v/>
      </c>
      <c r="H145" s="267" t="str">
        <f>IF(A145&lt;&gt;"",IF(COUNTIF($A145:$A$210,A145)=1,1,""),"")</f>
        <v/>
      </c>
    </row>
    <row r="146" spans="1:8">
      <c r="A146" s="297"/>
      <c r="B146" s="294"/>
      <c r="F146" s="290" t="str" cm="1">
        <f t="array" ref="F146">IFERROR(INDEX(交易历史!C:C,MATCH(1,(交易历史!A:A=A146)*(交易历史!E:E="四轮交易"),0)),IFERROR(INDEX(交易历史!C:C,MATCH(1,(交易历史!A:A=A146)*(交易历史!E:E="三轮交易"),0)),IFERROR(INDEX(交易历史!C:C,MATCH(1,(交易历史!A:A=A146)*(交易历史!E:E="二轮交易"),0)),IFERROR(INDEX(交易历史!C:C,MATCH(1,(交易历史!A:A=A146)*(交易历史!E:E="首轮交易"),0)),""))))</f>
        <v/>
      </c>
      <c r="G146" s="291" t="str">
        <f>IF(A146&lt;&gt;"",_xlfn.MAXIFS($B$12:$B$210,$A$12:$A$210,A146),"")</f>
        <v/>
      </c>
      <c r="H146" s="267" t="str">
        <f>IF(A146&lt;&gt;"",IF(COUNTIF($A146:$A$210,A146)=1,1,""),"")</f>
        <v/>
      </c>
    </row>
    <row r="147" spans="1:8">
      <c r="A147" s="297"/>
      <c r="B147" s="294"/>
      <c r="F147" s="290" t="str" cm="1">
        <f t="array" ref="F147">IFERROR(INDEX(交易历史!C:C,MATCH(1,(交易历史!A:A=A147)*(交易历史!E:E="四轮交易"),0)),IFERROR(INDEX(交易历史!C:C,MATCH(1,(交易历史!A:A=A147)*(交易历史!E:E="三轮交易"),0)),IFERROR(INDEX(交易历史!C:C,MATCH(1,(交易历史!A:A=A147)*(交易历史!E:E="二轮交易"),0)),IFERROR(INDEX(交易历史!C:C,MATCH(1,(交易历史!A:A=A147)*(交易历史!E:E="首轮交易"),0)),""))))</f>
        <v/>
      </c>
      <c r="G147" s="291" t="str">
        <f>IF(A147&lt;&gt;"",_xlfn.MAXIFS($B$12:$B$210,$A$12:$A$210,A147),"")</f>
        <v/>
      </c>
      <c r="H147" s="267" t="str">
        <f>IF(A147&lt;&gt;"",IF(COUNTIF($A147:$A$210,A147)=1,1,""),"")</f>
        <v/>
      </c>
    </row>
    <row r="148" spans="1:8">
      <c r="A148" s="297"/>
      <c r="B148" s="294"/>
      <c r="F148" s="290" t="str" cm="1">
        <f t="array" ref="F148">IFERROR(INDEX(交易历史!C:C,MATCH(1,(交易历史!A:A=A148)*(交易历史!E:E="四轮交易"),0)),IFERROR(INDEX(交易历史!C:C,MATCH(1,(交易历史!A:A=A148)*(交易历史!E:E="三轮交易"),0)),IFERROR(INDEX(交易历史!C:C,MATCH(1,(交易历史!A:A=A148)*(交易历史!E:E="二轮交易"),0)),IFERROR(INDEX(交易历史!C:C,MATCH(1,(交易历史!A:A=A148)*(交易历史!E:E="首轮交易"),0)),""))))</f>
        <v/>
      </c>
      <c r="G148" s="291" t="str">
        <f>IF(A148&lt;&gt;"",_xlfn.MAXIFS($B$12:$B$210,$A$12:$A$210,A148),"")</f>
        <v/>
      </c>
      <c r="H148" s="267" t="str">
        <f>IF(A148&lt;&gt;"",IF(COUNTIF($A148:$A$210,A148)=1,1,""),"")</f>
        <v/>
      </c>
    </row>
    <row r="149" spans="1:8">
      <c r="A149" s="297"/>
      <c r="B149" s="294"/>
      <c r="F149" s="290" t="str" cm="1">
        <f t="array" ref="F149">IFERROR(INDEX(交易历史!C:C,MATCH(1,(交易历史!A:A=A149)*(交易历史!E:E="四轮交易"),0)),IFERROR(INDEX(交易历史!C:C,MATCH(1,(交易历史!A:A=A149)*(交易历史!E:E="三轮交易"),0)),IFERROR(INDEX(交易历史!C:C,MATCH(1,(交易历史!A:A=A149)*(交易历史!E:E="二轮交易"),0)),IFERROR(INDEX(交易历史!C:C,MATCH(1,(交易历史!A:A=A149)*(交易历史!E:E="首轮交易"),0)),""))))</f>
        <v/>
      </c>
      <c r="G149" s="291" t="str">
        <f>IF(A149&lt;&gt;"",_xlfn.MAXIFS($B$12:$B$210,$A$12:$A$210,A149),"")</f>
        <v/>
      </c>
      <c r="H149" s="267" t="str">
        <f>IF(A149&lt;&gt;"",IF(COUNTIF($A149:$A$210,A149)=1,1,""),"")</f>
        <v/>
      </c>
    </row>
    <row r="150" spans="1:8">
      <c r="A150" s="297"/>
      <c r="B150" s="294"/>
      <c r="F150" s="290" t="str" cm="1">
        <f t="array" ref="F150">IFERROR(INDEX(交易历史!C:C,MATCH(1,(交易历史!A:A=A150)*(交易历史!E:E="四轮交易"),0)),IFERROR(INDEX(交易历史!C:C,MATCH(1,(交易历史!A:A=A150)*(交易历史!E:E="三轮交易"),0)),IFERROR(INDEX(交易历史!C:C,MATCH(1,(交易历史!A:A=A150)*(交易历史!E:E="二轮交易"),0)),IFERROR(INDEX(交易历史!C:C,MATCH(1,(交易历史!A:A=A150)*(交易历史!E:E="首轮交易"),0)),""))))</f>
        <v/>
      </c>
      <c r="G150" s="291" t="str">
        <f>IF(A150&lt;&gt;"",_xlfn.MAXIFS($B$12:$B$210,$A$12:$A$210,A150),"")</f>
        <v/>
      </c>
      <c r="H150" s="267" t="str">
        <f>IF(A150&lt;&gt;"",IF(COUNTIF($A150:$A$210,A150)=1,1,""),"")</f>
        <v/>
      </c>
    </row>
    <row r="151" spans="1:8">
      <c r="A151" s="297"/>
      <c r="B151" s="294"/>
      <c r="F151" s="290" t="str" cm="1">
        <f t="array" ref="F151">IFERROR(INDEX(交易历史!C:C,MATCH(1,(交易历史!A:A=A151)*(交易历史!E:E="四轮交易"),0)),IFERROR(INDEX(交易历史!C:C,MATCH(1,(交易历史!A:A=A151)*(交易历史!E:E="三轮交易"),0)),IFERROR(INDEX(交易历史!C:C,MATCH(1,(交易历史!A:A=A151)*(交易历史!E:E="二轮交易"),0)),IFERROR(INDEX(交易历史!C:C,MATCH(1,(交易历史!A:A=A151)*(交易历史!E:E="首轮交易"),0)),""))))</f>
        <v/>
      </c>
      <c r="G151" s="291" t="str">
        <f>IF(A151&lt;&gt;"",_xlfn.MAXIFS($B$12:$B$210,$A$12:$A$210,A151),"")</f>
        <v/>
      </c>
      <c r="H151" s="267" t="str">
        <f>IF(A151&lt;&gt;"",IF(COUNTIF($A151:$A$210,A151)=1,1,""),"")</f>
        <v/>
      </c>
    </row>
    <row r="152" spans="1:8">
      <c r="A152" s="297"/>
      <c r="B152" s="297"/>
      <c r="F152" s="290" t="str" cm="1">
        <f t="array" ref="F152">IFERROR(INDEX(交易历史!C:C,MATCH(1,(交易历史!A:A=A152)*(交易历史!E:E="四轮交易"),0)),IFERROR(INDEX(交易历史!C:C,MATCH(1,(交易历史!A:A=A152)*(交易历史!E:E="三轮交易"),0)),IFERROR(INDEX(交易历史!C:C,MATCH(1,(交易历史!A:A=A152)*(交易历史!E:E="二轮交易"),0)),IFERROR(INDEX(交易历史!C:C,MATCH(1,(交易历史!A:A=A152)*(交易历史!E:E="首轮交易"),0)),""))))</f>
        <v/>
      </c>
      <c r="G152" s="291" t="str">
        <f>IF(A152&lt;&gt;"",_xlfn.MAXIFS($B$12:$B$210,$A$12:$A$210,A152),"")</f>
        <v/>
      </c>
      <c r="H152" s="267" t="str">
        <f>IF(A152&lt;&gt;"",IF(COUNTIF($A152:$A$210,A152)=1,1,""),"")</f>
        <v/>
      </c>
    </row>
    <row r="153" spans="1:8">
      <c r="A153" s="297"/>
      <c r="B153" s="297"/>
      <c r="F153" s="290" t="str" cm="1">
        <f t="array" ref="F153">IFERROR(INDEX(交易历史!C:C,MATCH(1,(交易历史!A:A=A153)*(交易历史!E:E="四轮交易"),0)),IFERROR(INDEX(交易历史!C:C,MATCH(1,(交易历史!A:A=A153)*(交易历史!E:E="三轮交易"),0)),IFERROR(INDEX(交易历史!C:C,MATCH(1,(交易历史!A:A=A153)*(交易历史!E:E="二轮交易"),0)),IFERROR(INDEX(交易历史!C:C,MATCH(1,(交易历史!A:A=A153)*(交易历史!E:E="首轮交易"),0)),""))))</f>
        <v/>
      </c>
      <c r="G153" s="291" t="str">
        <f>IF(A153&lt;&gt;"",_xlfn.MAXIFS($B$12:$B$210,$A$12:$A$210,A153),"")</f>
        <v/>
      </c>
      <c r="H153" s="267" t="str">
        <f>IF(A153&lt;&gt;"",IF(COUNTIF($A153:$A$210,A153)=1,1,""),"")</f>
        <v/>
      </c>
    </row>
    <row r="154" spans="1:8">
      <c r="A154" s="297"/>
      <c r="B154" s="297"/>
      <c r="F154" s="290" t="str" cm="1">
        <f t="array" ref="F154">IFERROR(INDEX(交易历史!C:C,MATCH(1,(交易历史!A:A=A154)*(交易历史!E:E="四轮交易"),0)),IFERROR(INDEX(交易历史!C:C,MATCH(1,(交易历史!A:A=A154)*(交易历史!E:E="三轮交易"),0)),IFERROR(INDEX(交易历史!C:C,MATCH(1,(交易历史!A:A=A154)*(交易历史!E:E="二轮交易"),0)),IFERROR(INDEX(交易历史!C:C,MATCH(1,(交易历史!A:A=A154)*(交易历史!E:E="首轮交易"),0)),""))))</f>
        <v/>
      </c>
      <c r="G154" s="291" t="str">
        <f>IF(A154&lt;&gt;"",_xlfn.MAXIFS($B$12:$B$210,$A$12:$A$210,A154),"")</f>
        <v/>
      </c>
      <c r="H154" s="267" t="str">
        <f>IF(A154&lt;&gt;"",IF(COUNTIF($A154:$A$210,A154)=1,1,""),"")</f>
        <v/>
      </c>
    </row>
    <row r="155" spans="1:8">
      <c r="A155" s="297"/>
      <c r="B155" s="297"/>
      <c r="F155" s="290" t="str" cm="1">
        <f t="array" ref="F155">IFERROR(INDEX(交易历史!C:C,MATCH(1,(交易历史!A:A=A155)*(交易历史!E:E="四轮交易"),0)),IFERROR(INDEX(交易历史!C:C,MATCH(1,(交易历史!A:A=A155)*(交易历史!E:E="三轮交易"),0)),IFERROR(INDEX(交易历史!C:C,MATCH(1,(交易历史!A:A=A155)*(交易历史!E:E="二轮交易"),0)),IFERROR(INDEX(交易历史!C:C,MATCH(1,(交易历史!A:A=A155)*(交易历史!E:E="首轮交易"),0)),""))))</f>
        <v/>
      </c>
      <c r="G155" s="291" t="str">
        <f>IF(A155&lt;&gt;"",_xlfn.MAXIFS($B$12:$B$210,$A$12:$A$210,A155),"")</f>
        <v/>
      </c>
      <c r="H155" s="267" t="str">
        <f>IF(A155&lt;&gt;"",IF(COUNTIF($A155:$A$210,A155)=1,1,""),"")</f>
        <v/>
      </c>
    </row>
    <row r="156" spans="1:8">
      <c r="A156" s="297"/>
      <c r="B156" s="297"/>
      <c r="F156" s="290" t="str" cm="1">
        <f t="array" ref="F156">IFERROR(INDEX(交易历史!C:C,MATCH(1,(交易历史!A:A=A156)*(交易历史!E:E="四轮交易"),0)),IFERROR(INDEX(交易历史!C:C,MATCH(1,(交易历史!A:A=A156)*(交易历史!E:E="三轮交易"),0)),IFERROR(INDEX(交易历史!C:C,MATCH(1,(交易历史!A:A=A156)*(交易历史!E:E="二轮交易"),0)),IFERROR(INDEX(交易历史!C:C,MATCH(1,(交易历史!A:A=A156)*(交易历史!E:E="首轮交易"),0)),""))))</f>
        <v/>
      </c>
      <c r="G156" s="291" t="str">
        <f>IF(A156&lt;&gt;"",_xlfn.MAXIFS($B$12:$B$210,$A$12:$A$210,A156),"")</f>
        <v/>
      </c>
      <c r="H156" s="267" t="str">
        <f>IF(A156&lt;&gt;"",IF(COUNTIF($A156:$A$210,A156)=1,1,""),"")</f>
        <v/>
      </c>
    </row>
    <row r="157" spans="1:8">
      <c r="A157" s="297"/>
      <c r="B157" s="297"/>
      <c r="F157" s="290" t="str" cm="1">
        <f t="array" ref="F157">IFERROR(INDEX(交易历史!C:C,MATCH(1,(交易历史!A:A=A157)*(交易历史!E:E="四轮交易"),0)),IFERROR(INDEX(交易历史!C:C,MATCH(1,(交易历史!A:A=A157)*(交易历史!E:E="三轮交易"),0)),IFERROR(INDEX(交易历史!C:C,MATCH(1,(交易历史!A:A=A157)*(交易历史!E:E="二轮交易"),0)),IFERROR(INDEX(交易历史!C:C,MATCH(1,(交易历史!A:A=A157)*(交易历史!E:E="首轮交易"),0)),""))))</f>
        <v/>
      </c>
      <c r="G157" s="291" t="str">
        <f>IF(A157&lt;&gt;"",_xlfn.MAXIFS($B$12:$B$210,$A$12:$A$210,A157),"")</f>
        <v/>
      </c>
      <c r="H157" s="267" t="str">
        <f>IF(A157&lt;&gt;"",IF(COUNTIF($A157:$A$210,A157)=1,1,""),"")</f>
        <v/>
      </c>
    </row>
    <row r="158" spans="1:8">
      <c r="A158" s="297"/>
      <c r="B158" s="297"/>
      <c r="F158" s="290" t="str" cm="1">
        <f t="array" ref="F158">IFERROR(INDEX(交易历史!C:C,MATCH(1,(交易历史!A:A=A158)*(交易历史!E:E="四轮交易"),0)),IFERROR(INDEX(交易历史!C:C,MATCH(1,(交易历史!A:A=A158)*(交易历史!E:E="三轮交易"),0)),IFERROR(INDEX(交易历史!C:C,MATCH(1,(交易历史!A:A=A158)*(交易历史!E:E="二轮交易"),0)),IFERROR(INDEX(交易历史!C:C,MATCH(1,(交易历史!A:A=A158)*(交易历史!E:E="首轮交易"),0)),""))))</f>
        <v/>
      </c>
      <c r="G158" s="291" t="str">
        <f>IF(A158&lt;&gt;"",_xlfn.MAXIFS($B$12:$B$210,$A$12:$A$210,A158),"")</f>
        <v/>
      </c>
      <c r="H158" s="267" t="str">
        <f>IF(A158&lt;&gt;"",IF(COUNTIF($A158:$A$210,A158)=1,1,""),"")</f>
        <v/>
      </c>
    </row>
    <row r="159" spans="1:8">
      <c r="A159" s="297"/>
      <c r="B159" s="297"/>
      <c r="F159" s="290" t="str" cm="1">
        <f t="array" ref="F159">IFERROR(INDEX(交易历史!C:C,MATCH(1,(交易历史!A:A=A159)*(交易历史!E:E="四轮交易"),0)),IFERROR(INDEX(交易历史!C:C,MATCH(1,(交易历史!A:A=A159)*(交易历史!E:E="三轮交易"),0)),IFERROR(INDEX(交易历史!C:C,MATCH(1,(交易历史!A:A=A159)*(交易历史!E:E="二轮交易"),0)),IFERROR(INDEX(交易历史!C:C,MATCH(1,(交易历史!A:A=A159)*(交易历史!E:E="首轮交易"),0)),""))))</f>
        <v/>
      </c>
      <c r="G159" s="291" t="str">
        <f>IF(A159&lt;&gt;"",_xlfn.MAXIFS($B$12:$B$210,$A$12:$A$210,A159),"")</f>
        <v/>
      </c>
      <c r="H159" s="267" t="str">
        <f>IF(A159&lt;&gt;"",IF(COUNTIF($A159:$A$210,A159)=1,1,""),"")</f>
        <v/>
      </c>
    </row>
    <row r="160" spans="1:8">
      <c r="A160" s="297"/>
      <c r="B160" s="297"/>
      <c r="F160" s="290" t="str" cm="1">
        <f t="array" ref="F160">IFERROR(INDEX(交易历史!C:C,MATCH(1,(交易历史!A:A=A160)*(交易历史!E:E="四轮交易"),0)),IFERROR(INDEX(交易历史!C:C,MATCH(1,(交易历史!A:A=A160)*(交易历史!E:E="三轮交易"),0)),IFERROR(INDEX(交易历史!C:C,MATCH(1,(交易历史!A:A=A160)*(交易历史!E:E="二轮交易"),0)),IFERROR(INDEX(交易历史!C:C,MATCH(1,(交易历史!A:A=A160)*(交易历史!E:E="首轮交易"),0)),""))))</f>
        <v/>
      </c>
      <c r="G160" s="291" t="str">
        <f>IF(A160&lt;&gt;"",_xlfn.MAXIFS($B$12:$B$210,$A$12:$A$210,A160),"")</f>
        <v/>
      </c>
      <c r="H160" s="267" t="str">
        <f>IF(A160&lt;&gt;"",IF(COUNTIF($A160:$A$210,A160)=1,1,""),"")</f>
        <v/>
      </c>
    </row>
    <row r="161" spans="1:8">
      <c r="A161" s="297"/>
      <c r="B161" s="297"/>
      <c r="F161" s="290" t="str" cm="1">
        <f t="array" ref="F161">IFERROR(INDEX(交易历史!C:C,MATCH(1,(交易历史!A:A=A161)*(交易历史!E:E="四轮交易"),0)),IFERROR(INDEX(交易历史!C:C,MATCH(1,(交易历史!A:A=A161)*(交易历史!E:E="三轮交易"),0)),IFERROR(INDEX(交易历史!C:C,MATCH(1,(交易历史!A:A=A161)*(交易历史!E:E="二轮交易"),0)),IFERROR(INDEX(交易历史!C:C,MATCH(1,(交易历史!A:A=A161)*(交易历史!E:E="首轮交易"),0)),""))))</f>
        <v/>
      </c>
      <c r="G161" s="291" t="str">
        <f>IF(A161&lt;&gt;"",_xlfn.MAXIFS($B$12:$B$210,$A$12:$A$210,A161),"")</f>
        <v/>
      </c>
      <c r="H161" s="267" t="str">
        <f>IF(A161&lt;&gt;"",IF(COUNTIF($A161:$A$210,A161)=1,1,""),"")</f>
        <v/>
      </c>
    </row>
    <row r="162" spans="1:8">
      <c r="A162" s="297"/>
      <c r="B162" s="297"/>
      <c r="F162" s="290" t="str" cm="1">
        <f t="array" ref="F162">IFERROR(INDEX(交易历史!C:C,MATCH(1,(交易历史!A:A=A162)*(交易历史!E:E="四轮交易"),0)),IFERROR(INDEX(交易历史!C:C,MATCH(1,(交易历史!A:A=A162)*(交易历史!E:E="三轮交易"),0)),IFERROR(INDEX(交易历史!C:C,MATCH(1,(交易历史!A:A=A162)*(交易历史!E:E="二轮交易"),0)),IFERROR(INDEX(交易历史!C:C,MATCH(1,(交易历史!A:A=A162)*(交易历史!E:E="首轮交易"),0)),""))))</f>
        <v/>
      </c>
      <c r="G162" s="291" t="str">
        <f>IF(A162&lt;&gt;"",_xlfn.MAXIFS($B$12:$B$210,$A$12:$A$210,A162),"")</f>
        <v/>
      </c>
      <c r="H162" s="267" t="str">
        <f>IF(A162&lt;&gt;"",IF(COUNTIF($A162:$A$210,A162)=1,1,""),"")</f>
        <v/>
      </c>
    </row>
    <row r="163" spans="1:8">
      <c r="A163" s="297"/>
      <c r="B163" s="297"/>
      <c r="F163" s="290" t="str" cm="1">
        <f t="array" ref="F163">IFERROR(INDEX(交易历史!C:C,MATCH(1,(交易历史!A:A=A163)*(交易历史!E:E="四轮交易"),0)),IFERROR(INDEX(交易历史!C:C,MATCH(1,(交易历史!A:A=A163)*(交易历史!E:E="三轮交易"),0)),IFERROR(INDEX(交易历史!C:C,MATCH(1,(交易历史!A:A=A163)*(交易历史!E:E="二轮交易"),0)),IFERROR(INDEX(交易历史!C:C,MATCH(1,(交易历史!A:A=A163)*(交易历史!E:E="首轮交易"),0)),""))))</f>
        <v/>
      </c>
      <c r="G163" s="291" t="str">
        <f>IF(A163&lt;&gt;"",_xlfn.MAXIFS($B$12:$B$210,$A$12:$A$210,A163),"")</f>
        <v/>
      </c>
      <c r="H163" s="267" t="str">
        <f>IF(A163&lt;&gt;"",IF(COUNTIF($A163:$A$210,A163)=1,1,""),"")</f>
        <v/>
      </c>
    </row>
    <row r="164" spans="1:8">
      <c r="A164" s="297"/>
      <c r="B164" s="297"/>
      <c r="F164" s="290" t="str" cm="1">
        <f t="array" ref="F164">IFERROR(INDEX(交易历史!C:C,MATCH(1,(交易历史!A:A=A164)*(交易历史!E:E="四轮交易"),0)),IFERROR(INDEX(交易历史!C:C,MATCH(1,(交易历史!A:A=A164)*(交易历史!E:E="三轮交易"),0)),IFERROR(INDEX(交易历史!C:C,MATCH(1,(交易历史!A:A=A164)*(交易历史!E:E="二轮交易"),0)),IFERROR(INDEX(交易历史!C:C,MATCH(1,(交易历史!A:A=A164)*(交易历史!E:E="首轮交易"),0)),""))))</f>
        <v/>
      </c>
      <c r="G164" s="291" t="str">
        <f>IF(A164&lt;&gt;"",_xlfn.MAXIFS($B$12:$B$210,$A$12:$A$210,A164),"")</f>
        <v/>
      </c>
      <c r="H164" s="267" t="str">
        <f>IF(A164&lt;&gt;"",IF(COUNTIF($A164:$A$210,A164)=1,1,""),"")</f>
        <v/>
      </c>
    </row>
    <row r="165" spans="1:8">
      <c r="A165" s="297"/>
      <c r="B165" s="297"/>
      <c r="F165" s="290" t="str" cm="1">
        <f t="array" ref="F165">IFERROR(INDEX(交易历史!C:C,MATCH(1,(交易历史!A:A=A165)*(交易历史!E:E="四轮交易"),0)),IFERROR(INDEX(交易历史!C:C,MATCH(1,(交易历史!A:A=A165)*(交易历史!E:E="三轮交易"),0)),IFERROR(INDEX(交易历史!C:C,MATCH(1,(交易历史!A:A=A165)*(交易历史!E:E="二轮交易"),0)),IFERROR(INDEX(交易历史!C:C,MATCH(1,(交易历史!A:A=A165)*(交易历史!E:E="首轮交易"),0)),""))))</f>
        <v/>
      </c>
      <c r="G165" s="291" t="str">
        <f>IF(A165&lt;&gt;"",_xlfn.MAXIFS($B$12:$B$210,$A$12:$A$210,A165),"")</f>
        <v/>
      </c>
      <c r="H165" s="267" t="str">
        <f>IF(A165&lt;&gt;"",IF(COUNTIF($A165:$A$210,A165)=1,1,""),"")</f>
        <v/>
      </c>
    </row>
    <row r="166" spans="1:8">
      <c r="A166" s="297"/>
      <c r="B166" s="297"/>
      <c r="F166" s="290" t="str" cm="1">
        <f t="array" ref="F166">IFERROR(INDEX(交易历史!C:C,MATCH(1,(交易历史!A:A=A166)*(交易历史!E:E="四轮交易"),0)),IFERROR(INDEX(交易历史!C:C,MATCH(1,(交易历史!A:A=A166)*(交易历史!E:E="三轮交易"),0)),IFERROR(INDEX(交易历史!C:C,MATCH(1,(交易历史!A:A=A166)*(交易历史!E:E="二轮交易"),0)),IFERROR(INDEX(交易历史!C:C,MATCH(1,(交易历史!A:A=A166)*(交易历史!E:E="首轮交易"),0)),""))))</f>
        <v/>
      </c>
      <c r="G166" s="291" t="str">
        <f>IF(A166&lt;&gt;"",_xlfn.MAXIFS($B$12:$B$210,$A$12:$A$210,A166),"")</f>
        <v/>
      </c>
      <c r="H166" s="267" t="str">
        <f>IF(A166&lt;&gt;"",IF(COUNTIF($A166:$A$210,A166)=1,1,""),"")</f>
        <v/>
      </c>
    </row>
    <row r="167" spans="1:8">
      <c r="A167" s="297"/>
      <c r="B167" s="297"/>
      <c r="F167" s="290" t="str" cm="1">
        <f t="array" ref="F167">IFERROR(INDEX(交易历史!C:C,MATCH(1,(交易历史!A:A=A167)*(交易历史!E:E="四轮交易"),0)),IFERROR(INDEX(交易历史!C:C,MATCH(1,(交易历史!A:A=A167)*(交易历史!E:E="三轮交易"),0)),IFERROR(INDEX(交易历史!C:C,MATCH(1,(交易历史!A:A=A167)*(交易历史!E:E="二轮交易"),0)),IFERROR(INDEX(交易历史!C:C,MATCH(1,(交易历史!A:A=A167)*(交易历史!E:E="首轮交易"),0)),""))))</f>
        <v/>
      </c>
      <c r="G167" s="291" t="str">
        <f>IF(A167&lt;&gt;"",_xlfn.MAXIFS($B$12:$B$210,$A$12:$A$210,A167),"")</f>
        <v/>
      </c>
      <c r="H167" s="267" t="str">
        <f>IF(A167&lt;&gt;"",IF(COUNTIF($A167:$A$210,A167)=1,1,""),"")</f>
        <v/>
      </c>
    </row>
    <row r="168" spans="1:8">
      <c r="A168" s="297"/>
      <c r="B168" s="297"/>
      <c r="F168" s="290" t="str" cm="1">
        <f t="array" ref="F168">IFERROR(INDEX(交易历史!C:C,MATCH(1,(交易历史!A:A=A168)*(交易历史!E:E="四轮交易"),0)),IFERROR(INDEX(交易历史!C:C,MATCH(1,(交易历史!A:A=A168)*(交易历史!E:E="三轮交易"),0)),IFERROR(INDEX(交易历史!C:C,MATCH(1,(交易历史!A:A=A168)*(交易历史!E:E="二轮交易"),0)),IFERROR(INDEX(交易历史!C:C,MATCH(1,(交易历史!A:A=A168)*(交易历史!E:E="首轮交易"),0)),""))))</f>
        <v/>
      </c>
      <c r="G168" s="291" t="str">
        <f>IF(A168&lt;&gt;"",_xlfn.MAXIFS($B$12:$B$210,$A$12:$A$210,A168),"")</f>
        <v/>
      </c>
      <c r="H168" s="267" t="str">
        <f>IF(A168&lt;&gt;"",IF(COUNTIF($A168:$A$210,A168)=1,1,""),"")</f>
        <v/>
      </c>
    </row>
    <row r="169" spans="1:8">
      <c r="A169" s="297"/>
      <c r="B169" s="297"/>
      <c r="F169" s="290" t="str" cm="1">
        <f t="array" ref="F169">IFERROR(INDEX(交易历史!C:C,MATCH(1,(交易历史!A:A=A169)*(交易历史!E:E="四轮交易"),0)),IFERROR(INDEX(交易历史!C:C,MATCH(1,(交易历史!A:A=A169)*(交易历史!E:E="三轮交易"),0)),IFERROR(INDEX(交易历史!C:C,MATCH(1,(交易历史!A:A=A169)*(交易历史!E:E="二轮交易"),0)),IFERROR(INDEX(交易历史!C:C,MATCH(1,(交易历史!A:A=A169)*(交易历史!E:E="首轮交易"),0)),""))))</f>
        <v/>
      </c>
      <c r="G169" s="291" t="str">
        <f>IF(A169&lt;&gt;"",_xlfn.MAXIFS($B$12:$B$210,$A$12:$A$210,A169),"")</f>
        <v/>
      </c>
      <c r="H169" s="267" t="str">
        <f>IF(A169&lt;&gt;"",IF(COUNTIF($A169:$A$210,A169)=1,1,""),"")</f>
        <v/>
      </c>
    </row>
    <row r="170" spans="1:8">
      <c r="A170" s="297"/>
      <c r="B170" s="297"/>
      <c r="F170" s="290" t="str" cm="1">
        <f t="array" ref="F170">IFERROR(INDEX(交易历史!C:C,MATCH(1,(交易历史!A:A=A170)*(交易历史!E:E="四轮交易"),0)),IFERROR(INDEX(交易历史!C:C,MATCH(1,(交易历史!A:A=A170)*(交易历史!E:E="三轮交易"),0)),IFERROR(INDEX(交易历史!C:C,MATCH(1,(交易历史!A:A=A170)*(交易历史!E:E="二轮交易"),0)),IFERROR(INDEX(交易历史!C:C,MATCH(1,(交易历史!A:A=A170)*(交易历史!E:E="首轮交易"),0)),""))))</f>
        <v/>
      </c>
      <c r="G170" s="291" t="str">
        <f>IF(A170&lt;&gt;"",_xlfn.MAXIFS($B$12:$B$210,$A$12:$A$210,A170),"")</f>
        <v/>
      </c>
      <c r="H170" s="267" t="str">
        <f>IF(A170&lt;&gt;"",IF(COUNTIF($A170:$A$210,A170)=1,1,""),"")</f>
        <v/>
      </c>
    </row>
    <row r="171" spans="1:8">
      <c r="A171" s="297"/>
      <c r="B171" s="297"/>
      <c r="F171" s="290" t="str" cm="1">
        <f t="array" ref="F171">IFERROR(INDEX(交易历史!C:C,MATCH(1,(交易历史!A:A=A171)*(交易历史!E:E="四轮交易"),0)),IFERROR(INDEX(交易历史!C:C,MATCH(1,(交易历史!A:A=A171)*(交易历史!E:E="三轮交易"),0)),IFERROR(INDEX(交易历史!C:C,MATCH(1,(交易历史!A:A=A171)*(交易历史!E:E="二轮交易"),0)),IFERROR(INDEX(交易历史!C:C,MATCH(1,(交易历史!A:A=A171)*(交易历史!E:E="首轮交易"),0)),""))))</f>
        <v/>
      </c>
      <c r="G171" s="291" t="str">
        <f>IF(A171&lt;&gt;"",_xlfn.MAXIFS($B$12:$B$210,$A$12:$A$210,A171),"")</f>
        <v/>
      </c>
      <c r="H171" s="267" t="str">
        <f>IF(A171&lt;&gt;"",IF(COUNTIF($A171:$A$210,A171)=1,1,""),"")</f>
        <v/>
      </c>
    </row>
    <row r="172" spans="1:8">
      <c r="A172" s="297"/>
      <c r="B172" s="297"/>
      <c r="F172" s="290" t="str" cm="1">
        <f t="array" ref="F172">IFERROR(INDEX(交易历史!C:C,MATCH(1,(交易历史!A:A=A172)*(交易历史!E:E="四轮交易"),0)),IFERROR(INDEX(交易历史!C:C,MATCH(1,(交易历史!A:A=A172)*(交易历史!E:E="三轮交易"),0)),IFERROR(INDEX(交易历史!C:C,MATCH(1,(交易历史!A:A=A172)*(交易历史!E:E="二轮交易"),0)),IFERROR(INDEX(交易历史!C:C,MATCH(1,(交易历史!A:A=A172)*(交易历史!E:E="首轮交易"),0)),""))))</f>
        <v/>
      </c>
      <c r="G172" s="291" t="str">
        <f>IF(A172&lt;&gt;"",_xlfn.MAXIFS($B$12:$B$210,$A$12:$A$210,A172),"")</f>
        <v/>
      </c>
      <c r="H172" s="267" t="str">
        <f>IF(A172&lt;&gt;"",IF(COUNTIF($A172:$A$210,A172)=1,1,""),"")</f>
        <v/>
      </c>
    </row>
    <row r="173" spans="1:8">
      <c r="A173" s="297"/>
      <c r="B173" s="297"/>
      <c r="F173" s="290" t="str" cm="1">
        <f t="array" ref="F173">IFERROR(INDEX(交易历史!C:C,MATCH(1,(交易历史!A:A=A173)*(交易历史!E:E="四轮交易"),0)),IFERROR(INDEX(交易历史!C:C,MATCH(1,(交易历史!A:A=A173)*(交易历史!E:E="三轮交易"),0)),IFERROR(INDEX(交易历史!C:C,MATCH(1,(交易历史!A:A=A173)*(交易历史!E:E="二轮交易"),0)),IFERROR(INDEX(交易历史!C:C,MATCH(1,(交易历史!A:A=A173)*(交易历史!E:E="首轮交易"),0)),""))))</f>
        <v/>
      </c>
      <c r="G173" s="291" t="str">
        <f>IF(A173&lt;&gt;"",_xlfn.MAXIFS($B$12:$B$210,$A$12:$A$210,A173),"")</f>
        <v/>
      </c>
      <c r="H173" s="267" t="str">
        <f>IF(A173&lt;&gt;"",IF(COUNTIF($A173:$A$210,A173)=1,1,""),"")</f>
        <v/>
      </c>
    </row>
    <row r="174" spans="1:8">
      <c r="A174" s="297"/>
      <c r="B174" s="297"/>
      <c r="F174" s="290" t="str" cm="1">
        <f t="array" ref="F174">IFERROR(INDEX(交易历史!C:C,MATCH(1,(交易历史!A:A=A174)*(交易历史!E:E="四轮交易"),0)),IFERROR(INDEX(交易历史!C:C,MATCH(1,(交易历史!A:A=A174)*(交易历史!E:E="三轮交易"),0)),IFERROR(INDEX(交易历史!C:C,MATCH(1,(交易历史!A:A=A174)*(交易历史!E:E="二轮交易"),0)),IFERROR(INDEX(交易历史!C:C,MATCH(1,(交易历史!A:A=A174)*(交易历史!E:E="首轮交易"),0)),""))))</f>
        <v/>
      </c>
      <c r="G174" s="291" t="str">
        <f>IF(A174&lt;&gt;"",_xlfn.MAXIFS($B$12:$B$210,$A$12:$A$210,A174),"")</f>
        <v/>
      </c>
      <c r="H174" s="267" t="str">
        <f>IF(A174&lt;&gt;"",IF(COUNTIF($A174:$A$210,A174)=1,1,""),"")</f>
        <v/>
      </c>
    </row>
    <row r="175" spans="1:8">
      <c r="A175" s="297"/>
      <c r="B175" s="297"/>
      <c r="F175" s="290" t="str" cm="1">
        <f t="array" ref="F175">IFERROR(INDEX(交易历史!C:C,MATCH(1,(交易历史!A:A=A175)*(交易历史!E:E="四轮交易"),0)),IFERROR(INDEX(交易历史!C:C,MATCH(1,(交易历史!A:A=A175)*(交易历史!E:E="三轮交易"),0)),IFERROR(INDEX(交易历史!C:C,MATCH(1,(交易历史!A:A=A175)*(交易历史!E:E="二轮交易"),0)),IFERROR(INDEX(交易历史!C:C,MATCH(1,(交易历史!A:A=A175)*(交易历史!E:E="首轮交易"),0)),""))))</f>
        <v/>
      </c>
      <c r="G175" s="291" t="str">
        <f>IF(A175&lt;&gt;"",_xlfn.MAXIFS($B$12:$B$210,$A$12:$A$210,A175),"")</f>
        <v/>
      </c>
      <c r="H175" s="267" t="str">
        <f>IF(A175&lt;&gt;"",IF(COUNTIF($A175:$A$210,A175)=1,1,""),"")</f>
        <v/>
      </c>
    </row>
    <row r="176" spans="1:8">
      <c r="A176" s="297"/>
      <c r="B176" s="297"/>
      <c r="F176" s="290" t="str" cm="1">
        <f t="array" ref="F176">IFERROR(INDEX(交易历史!C:C,MATCH(1,(交易历史!A:A=A176)*(交易历史!E:E="四轮交易"),0)),IFERROR(INDEX(交易历史!C:C,MATCH(1,(交易历史!A:A=A176)*(交易历史!E:E="三轮交易"),0)),IFERROR(INDEX(交易历史!C:C,MATCH(1,(交易历史!A:A=A176)*(交易历史!E:E="二轮交易"),0)),IFERROR(INDEX(交易历史!C:C,MATCH(1,(交易历史!A:A=A176)*(交易历史!E:E="首轮交易"),0)),""))))</f>
        <v/>
      </c>
      <c r="G176" s="291" t="str">
        <f>IF(A176&lt;&gt;"",_xlfn.MAXIFS($B$12:$B$210,$A$12:$A$210,A176),"")</f>
        <v/>
      </c>
      <c r="H176" s="267" t="str">
        <f>IF(A176&lt;&gt;"",IF(COUNTIF($A176:$A$210,A176)=1,1,""),"")</f>
        <v/>
      </c>
    </row>
    <row r="177" spans="1:8">
      <c r="A177" s="297"/>
      <c r="B177" s="297"/>
      <c r="F177" s="290" t="str" cm="1">
        <f t="array" ref="F177">IFERROR(INDEX(交易历史!C:C,MATCH(1,(交易历史!A:A=A177)*(交易历史!E:E="四轮交易"),0)),IFERROR(INDEX(交易历史!C:C,MATCH(1,(交易历史!A:A=A177)*(交易历史!E:E="三轮交易"),0)),IFERROR(INDEX(交易历史!C:C,MATCH(1,(交易历史!A:A=A177)*(交易历史!E:E="二轮交易"),0)),IFERROR(INDEX(交易历史!C:C,MATCH(1,(交易历史!A:A=A177)*(交易历史!E:E="首轮交易"),0)),""))))</f>
        <v/>
      </c>
      <c r="G177" s="291" t="str">
        <f>IF(A177&lt;&gt;"",_xlfn.MAXIFS($B$12:$B$210,$A$12:$A$210,A177),"")</f>
        <v/>
      </c>
      <c r="H177" s="267" t="str">
        <f>IF(A177&lt;&gt;"",IF(COUNTIF($A177:$A$210,A177)=1,1,""),"")</f>
        <v/>
      </c>
    </row>
    <row r="178" spans="1:8">
      <c r="A178" s="297"/>
      <c r="B178" s="297"/>
      <c r="F178" s="290" t="str" cm="1">
        <f t="array" ref="F178">IFERROR(INDEX(交易历史!C:C,MATCH(1,(交易历史!A:A=A178)*(交易历史!E:E="四轮交易"),0)),IFERROR(INDEX(交易历史!C:C,MATCH(1,(交易历史!A:A=A178)*(交易历史!E:E="三轮交易"),0)),IFERROR(INDEX(交易历史!C:C,MATCH(1,(交易历史!A:A=A178)*(交易历史!E:E="二轮交易"),0)),IFERROR(INDEX(交易历史!C:C,MATCH(1,(交易历史!A:A=A178)*(交易历史!E:E="首轮交易"),0)),""))))</f>
        <v/>
      </c>
      <c r="G178" s="291" t="str">
        <f>IF(A178&lt;&gt;"",_xlfn.MAXIFS($B$12:$B$210,$A$12:$A$210,A178),"")</f>
        <v/>
      </c>
      <c r="H178" s="267" t="str">
        <f>IF(A178&lt;&gt;"",IF(COUNTIF($A178:$A$210,A178)=1,1,""),"")</f>
        <v/>
      </c>
    </row>
    <row r="179" spans="1:8">
      <c r="A179" s="297"/>
      <c r="B179" s="297"/>
      <c r="F179" s="290" t="str" cm="1">
        <f t="array" ref="F179">IFERROR(INDEX(交易历史!C:C,MATCH(1,(交易历史!A:A=A179)*(交易历史!E:E="四轮交易"),0)),IFERROR(INDEX(交易历史!C:C,MATCH(1,(交易历史!A:A=A179)*(交易历史!E:E="三轮交易"),0)),IFERROR(INDEX(交易历史!C:C,MATCH(1,(交易历史!A:A=A179)*(交易历史!E:E="二轮交易"),0)),IFERROR(INDEX(交易历史!C:C,MATCH(1,(交易历史!A:A=A179)*(交易历史!E:E="首轮交易"),0)),""))))</f>
        <v/>
      </c>
      <c r="G179" s="291" t="str">
        <f>IF(A179&lt;&gt;"",_xlfn.MAXIFS($B$12:$B$210,$A$12:$A$210,A179),"")</f>
        <v/>
      </c>
      <c r="H179" s="267" t="str">
        <f>IF(A179&lt;&gt;"",IF(COUNTIF($A179:$A$210,A179)=1,1,""),"")</f>
        <v/>
      </c>
    </row>
    <row r="180" spans="1:8">
      <c r="A180" s="297"/>
      <c r="B180" s="297"/>
      <c r="F180" s="290" t="str" cm="1">
        <f t="array" ref="F180">IFERROR(INDEX(交易历史!C:C,MATCH(1,(交易历史!A:A=A180)*(交易历史!E:E="四轮交易"),0)),IFERROR(INDEX(交易历史!C:C,MATCH(1,(交易历史!A:A=A180)*(交易历史!E:E="三轮交易"),0)),IFERROR(INDEX(交易历史!C:C,MATCH(1,(交易历史!A:A=A180)*(交易历史!E:E="二轮交易"),0)),IFERROR(INDEX(交易历史!C:C,MATCH(1,(交易历史!A:A=A180)*(交易历史!E:E="首轮交易"),0)),""))))</f>
        <v/>
      </c>
      <c r="G180" s="291" t="str">
        <f>IF(A180&lt;&gt;"",_xlfn.MAXIFS($B$12:$B$210,$A$12:$A$210,A180),"")</f>
        <v/>
      </c>
      <c r="H180" s="267" t="str">
        <f>IF(A180&lt;&gt;"",IF(COUNTIF($A180:$A$210,A180)=1,1,""),"")</f>
        <v/>
      </c>
    </row>
    <row r="181" spans="1:8">
      <c r="A181" s="297"/>
      <c r="B181" s="297"/>
      <c r="F181" s="290" t="str" cm="1">
        <f t="array" ref="F181">IFERROR(INDEX(交易历史!C:C,MATCH(1,(交易历史!A:A=A181)*(交易历史!E:E="四轮交易"),0)),IFERROR(INDEX(交易历史!C:C,MATCH(1,(交易历史!A:A=A181)*(交易历史!E:E="三轮交易"),0)),IFERROR(INDEX(交易历史!C:C,MATCH(1,(交易历史!A:A=A181)*(交易历史!E:E="二轮交易"),0)),IFERROR(INDEX(交易历史!C:C,MATCH(1,(交易历史!A:A=A181)*(交易历史!E:E="首轮交易"),0)),""))))</f>
        <v/>
      </c>
      <c r="G181" s="291" t="str">
        <f>IF(A181&lt;&gt;"",_xlfn.MAXIFS($B$12:$B$210,$A$12:$A$210,A181),"")</f>
        <v/>
      </c>
      <c r="H181" s="267" t="str">
        <f>IF(A181&lt;&gt;"",IF(COUNTIF($A181:$A$210,A181)=1,1,""),"")</f>
        <v/>
      </c>
    </row>
    <row r="182" spans="1:8">
      <c r="A182" s="297"/>
      <c r="B182" s="297"/>
      <c r="F182" s="290" t="str" cm="1">
        <f t="array" ref="F182">IFERROR(INDEX(交易历史!C:C,MATCH(1,(交易历史!A:A=A182)*(交易历史!E:E="四轮交易"),0)),IFERROR(INDEX(交易历史!C:C,MATCH(1,(交易历史!A:A=A182)*(交易历史!E:E="三轮交易"),0)),IFERROR(INDEX(交易历史!C:C,MATCH(1,(交易历史!A:A=A182)*(交易历史!E:E="二轮交易"),0)),IFERROR(INDEX(交易历史!C:C,MATCH(1,(交易历史!A:A=A182)*(交易历史!E:E="首轮交易"),0)),""))))</f>
        <v/>
      </c>
      <c r="G182" s="291" t="str">
        <f>IF(A182&lt;&gt;"",_xlfn.MAXIFS($B$12:$B$210,$A$12:$A$210,A182),"")</f>
        <v/>
      </c>
      <c r="H182" s="267" t="str">
        <f>IF(A182&lt;&gt;"",IF(COUNTIF($A182:$A$210,A182)=1,1,""),"")</f>
        <v/>
      </c>
    </row>
    <row r="183" spans="1:8">
      <c r="A183" s="297"/>
      <c r="B183" s="297"/>
      <c r="F183" s="290" t="str" cm="1">
        <f t="array" ref="F183">IFERROR(INDEX(交易历史!C:C,MATCH(1,(交易历史!A:A=A183)*(交易历史!E:E="四轮交易"),0)),IFERROR(INDEX(交易历史!C:C,MATCH(1,(交易历史!A:A=A183)*(交易历史!E:E="三轮交易"),0)),IFERROR(INDEX(交易历史!C:C,MATCH(1,(交易历史!A:A=A183)*(交易历史!E:E="二轮交易"),0)),IFERROR(INDEX(交易历史!C:C,MATCH(1,(交易历史!A:A=A183)*(交易历史!E:E="首轮交易"),0)),""))))</f>
        <v/>
      </c>
      <c r="G183" s="291" t="str">
        <f>IF(A183&lt;&gt;"",_xlfn.MAXIFS($B$12:$B$210,$A$12:$A$210,A183),"")</f>
        <v/>
      </c>
      <c r="H183" s="267" t="str">
        <f>IF(A183&lt;&gt;"",IF(COUNTIF($A183:$A$210,A183)=1,1,""),"")</f>
        <v/>
      </c>
    </row>
    <row r="184" spans="1:8">
      <c r="A184" s="297"/>
      <c r="B184" s="297"/>
      <c r="F184" s="290" t="str" cm="1">
        <f t="array" ref="F184">IFERROR(INDEX(交易历史!C:C,MATCH(1,(交易历史!A:A=A184)*(交易历史!E:E="四轮交易"),0)),IFERROR(INDEX(交易历史!C:C,MATCH(1,(交易历史!A:A=A184)*(交易历史!E:E="三轮交易"),0)),IFERROR(INDEX(交易历史!C:C,MATCH(1,(交易历史!A:A=A184)*(交易历史!E:E="二轮交易"),0)),IFERROR(INDEX(交易历史!C:C,MATCH(1,(交易历史!A:A=A184)*(交易历史!E:E="首轮交易"),0)),""))))</f>
        <v/>
      </c>
      <c r="G184" s="291" t="str">
        <f>IF(A184&lt;&gt;"",_xlfn.MAXIFS($B$12:$B$210,$A$12:$A$210,A184),"")</f>
        <v/>
      </c>
      <c r="H184" s="267" t="str">
        <f>IF(A184&lt;&gt;"",IF(COUNTIF($A184:$A$210,A184)=1,1,""),"")</f>
        <v/>
      </c>
    </row>
    <row r="185" spans="1:8">
      <c r="A185" s="297"/>
      <c r="B185" s="297"/>
      <c r="F185" s="290" t="str" cm="1">
        <f t="array" ref="F185">IFERROR(INDEX(交易历史!C:C,MATCH(1,(交易历史!A:A=A185)*(交易历史!E:E="四轮交易"),0)),IFERROR(INDEX(交易历史!C:C,MATCH(1,(交易历史!A:A=A185)*(交易历史!E:E="三轮交易"),0)),IFERROR(INDEX(交易历史!C:C,MATCH(1,(交易历史!A:A=A185)*(交易历史!E:E="二轮交易"),0)),IFERROR(INDEX(交易历史!C:C,MATCH(1,(交易历史!A:A=A185)*(交易历史!E:E="首轮交易"),0)),""))))</f>
        <v/>
      </c>
      <c r="G185" s="291" t="str">
        <f>IF(A185&lt;&gt;"",_xlfn.MAXIFS($B$12:$B$210,$A$12:$A$210,A185),"")</f>
        <v/>
      </c>
      <c r="H185" s="267" t="str">
        <f>IF(A185&lt;&gt;"",IF(COUNTIF($A185:$A$210,A185)=1,1,""),"")</f>
        <v/>
      </c>
    </row>
    <row r="186" spans="1:8">
      <c r="A186" s="297"/>
      <c r="B186" s="297"/>
      <c r="F186" s="290" t="str" cm="1">
        <f t="array" ref="F186">IFERROR(INDEX(交易历史!C:C,MATCH(1,(交易历史!A:A=A186)*(交易历史!E:E="四轮交易"),0)),IFERROR(INDEX(交易历史!C:C,MATCH(1,(交易历史!A:A=A186)*(交易历史!E:E="三轮交易"),0)),IFERROR(INDEX(交易历史!C:C,MATCH(1,(交易历史!A:A=A186)*(交易历史!E:E="二轮交易"),0)),IFERROR(INDEX(交易历史!C:C,MATCH(1,(交易历史!A:A=A186)*(交易历史!E:E="首轮交易"),0)),""))))</f>
        <v/>
      </c>
      <c r="G186" s="291" t="str">
        <f>IF(A186&lt;&gt;"",_xlfn.MAXIFS($B$12:$B$210,$A$12:$A$210,A186),"")</f>
        <v/>
      </c>
      <c r="H186" s="267" t="str">
        <f>IF(A186&lt;&gt;"",IF(COUNTIF($A186:$A$210,A186)=1,1,""),"")</f>
        <v/>
      </c>
    </row>
    <row r="187" spans="1:8">
      <c r="A187" s="297"/>
      <c r="B187" s="297"/>
      <c r="F187" s="290" t="str" cm="1">
        <f t="array" ref="F187">IFERROR(INDEX(交易历史!C:C,MATCH(1,(交易历史!A:A=A187)*(交易历史!E:E="四轮交易"),0)),IFERROR(INDEX(交易历史!C:C,MATCH(1,(交易历史!A:A=A187)*(交易历史!E:E="三轮交易"),0)),IFERROR(INDEX(交易历史!C:C,MATCH(1,(交易历史!A:A=A187)*(交易历史!E:E="二轮交易"),0)),IFERROR(INDEX(交易历史!C:C,MATCH(1,(交易历史!A:A=A187)*(交易历史!E:E="首轮交易"),0)),""))))</f>
        <v/>
      </c>
      <c r="G187" s="291" t="str">
        <f>IF(A187&lt;&gt;"",_xlfn.MAXIFS($B$12:$B$210,$A$12:$A$210,A187),"")</f>
        <v/>
      </c>
      <c r="H187" s="267" t="str">
        <f>IF(A187&lt;&gt;"",IF(COUNTIF($A187:$A$210,A187)=1,1,""),"")</f>
        <v/>
      </c>
    </row>
    <row r="188" spans="1:8">
      <c r="A188" s="297"/>
      <c r="B188" s="297"/>
      <c r="F188" s="290" t="str" cm="1">
        <f t="array" ref="F188">IFERROR(INDEX(交易历史!C:C,MATCH(1,(交易历史!A:A=A188)*(交易历史!E:E="四轮交易"),0)),IFERROR(INDEX(交易历史!C:C,MATCH(1,(交易历史!A:A=A188)*(交易历史!E:E="三轮交易"),0)),IFERROR(INDEX(交易历史!C:C,MATCH(1,(交易历史!A:A=A188)*(交易历史!E:E="二轮交易"),0)),IFERROR(INDEX(交易历史!C:C,MATCH(1,(交易历史!A:A=A188)*(交易历史!E:E="首轮交易"),0)),""))))</f>
        <v/>
      </c>
      <c r="G188" s="291" t="str">
        <f>IF(A188&lt;&gt;"",_xlfn.MAXIFS($B$12:$B$210,$A$12:$A$210,A188),"")</f>
        <v/>
      </c>
      <c r="H188" s="267" t="str">
        <f>IF(A188&lt;&gt;"",IF(COUNTIF($A188:$A$210,A188)=1,1,""),"")</f>
        <v/>
      </c>
    </row>
    <row r="189" spans="1:8">
      <c r="A189" s="297"/>
      <c r="B189" s="297"/>
      <c r="F189" s="290" t="str" cm="1">
        <f t="array" ref="F189">IFERROR(INDEX(交易历史!C:C,MATCH(1,(交易历史!A:A=A189)*(交易历史!E:E="四轮交易"),0)),IFERROR(INDEX(交易历史!C:C,MATCH(1,(交易历史!A:A=A189)*(交易历史!E:E="三轮交易"),0)),IFERROR(INDEX(交易历史!C:C,MATCH(1,(交易历史!A:A=A189)*(交易历史!E:E="二轮交易"),0)),IFERROR(INDEX(交易历史!C:C,MATCH(1,(交易历史!A:A=A189)*(交易历史!E:E="首轮交易"),0)),""))))</f>
        <v/>
      </c>
      <c r="G189" s="291" t="str">
        <f>IF(A189&lt;&gt;"",_xlfn.MAXIFS($B$12:$B$210,$A$12:$A$210,A189),"")</f>
        <v/>
      </c>
      <c r="H189" s="267" t="str">
        <f>IF(A189&lt;&gt;"",IF(COUNTIF($A189:$A$210,A189)=1,1,""),"")</f>
        <v/>
      </c>
    </row>
    <row r="190" spans="1:8">
      <c r="A190" s="297"/>
      <c r="B190" s="297"/>
      <c r="F190" s="290" t="str" cm="1">
        <f t="array" ref="F190">IFERROR(INDEX(交易历史!C:C,MATCH(1,(交易历史!A:A=A190)*(交易历史!E:E="四轮交易"),0)),IFERROR(INDEX(交易历史!C:C,MATCH(1,(交易历史!A:A=A190)*(交易历史!E:E="三轮交易"),0)),IFERROR(INDEX(交易历史!C:C,MATCH(1,(交易历史!A:A=A190)*(交易历史!E:E="二轮交易"),0)),IFERROR(INDEX(交易历史!C:C,MATCH(1,(交易历史!A:A=A190)*(交易历史!E:E="首轮交易"),0)),""))))</f>
        <v/>
      </c>
      <c r="G190" s="291" t="str">
        <f>IF(A190&lt;&gt;"",_xlfn.MAXIFS($B$12:$B$210,$A$12:$A$210,A190),"")</f>
        <v/>
      </c>
      <c r="H190" s="267" t="str">
        <f>IF(A190&lt;&gt;"",IF(COUNTIF($A190:$A$210,A190)=1,1,""),"")</f>
        <v/>
      </c>
    </row>
    <row r="191" spans="1:8">
      <c r="A191" s="297"/>
      <c r="B191" s="297"/>
      <c r="F191" s="290" t="str" cm="1">
        <f t="array" ref="F191">IFERROR(INDEX(交易历史!C:C,MATCH(1,(交易历史!A:A=A191)*(交易历史!E:E="四轮交易"),0)),IFERROR(INDEX(交易历史!C:C,MATCH(1,(交易历史!A:A=A191)*(交易历史!E:E="三轮交易"),0)),IFERROR(INDEX(交易历史!C:C,MATCH(1,(交易历史!A:A=A191)*(交易历史!E:E="二轮交易"),0)),IFERROR(INDEX(交易历史!C:C,MATCH(1,(交易历史!A:A=A191)*(交易历史!E:E="首轮交易"),0)),""))))</f>
        <v/>
      </c>
      <c r="G191" s="291" t="str">
        <f>IF(A191&lt;&gt;"",_xlfn.MAXIFS($B$12:$B$210,$A$12:$A$210,A191),"")</f>
        <v/>
      </c>
      <c r="H191" s="267" t="str">
        <f>IF(A191&lt;&gt;"",IF(COUNTIF($A191:$A$210,A191)=1,1,""),"")</f>
        <v/>
      </c>
    </row>
    <row r="192" spans="1:8">
      <c r="A192" s="297"/>
      <c r="B192" s="297"/>
      <c r="F192" s="290" t="str" cm="1">
        <f t="array" ref="F192">IFERROR(INDEX(交易历史!C:C,MATCH(1,(交易历史!A:A=A192)*(交易历史!E:E="四轮交易"),0)),IFERROR(INDEX(交易历史!C:C,MATCH(1,(交易历史!A:A=A192)*(交易历史!E:E="三轮交易"),0)),IFERROR(INDEX(交易历史!C:C,MATCH(1,(交易历史!A:A=A192)*(交易历史!E:E="二轮交易"),0)),IFERROR(INDEX(交易历史!C:C,MATCH(1,(交易历史!A:A=A192)*(交易历史!E:E="首轮交易"),0)),""))))</f>
        <v/>
      </c>
      <c r="G192" s="291" t="str">
        <f>IF(A192&lt;&gt;"",_xlfn.MAXIFS($B$12:$B$210,$A$12:$A$210,A192),"")</f>
        <v/>
      </c>
      <c r="H192" s="267" t="str">
        <f>IF(A192&lt;&gt;"",IF(COUNTIF($A192:$A$210,A192)=1,1,""),"")</f>
        <v/>
      </c>
    </row>
    <row r="193" spans="1:8">
      <c r="A193" s="297"/>
      <c r="B193" s="297"/>
      <c r="F193" s="290" t="str" cm="1">
        <f t="array" ref="F193">IFERROR(INDEX(交易历史!C:C,MATCH(1,(交易历史!A:A=A193)*(交易历史!E:E="四轮交易"),0)),IFERROR(INDEX(交易历史!C:C,MATCH(1,(交易历史!A:A=A193)*(交易历史!E:E="三轮交易"),0)),IFERROR(INDEX(交易历史!C:C,MATCH(1,(交易历史!A:A=A193)*(交易历史!E:E="二轮交易"),0)),IFERROR(INDEX(交易历史!C:C,MATCH(1,(交易历史!A:A=A193)*(交易历史!E:E="首轮交易"),0)),""))))</f>
        <v/>
      </c>
      <c r="G193" s="291" t="str">
        <f>IF(A193&lt;&gt;"",_xlfn.MAXIFS($B$12:$B$210,$A$12:$A$210,A193),"")</f>
        <v/>
      </c>
      <c r="H193" s="267" t="str">
        <f>IF(A193&lt;&gt;"",IF(COUNTIF($A193:$A$210,A193)=1,1,""),"")</f>
        <v/>
      </c>
    </row>
    <row r="194" spans="1:8">
      <c r="A194" s="297"/>
      <c r="B194" s="297"/>
      <c r="F194" s="290" t="str" cm="1">
        <f t="array" ref="F194">IFERROR(INDEX(交易历史!C:C,MATCH(1,(交易历史!A:A=A194)*(交易历史!E:E="四轮交易"),0)),IFERROR(INDEX(交易历史!C:C,MATCH(1,(交易历史!A:A=A194)*(交易历史!E:E="三轮交易"),0)),IFERROR(INDEX(交易历史!C:C,MATCH(1,(交易历史!A:A=A194)*(交易历史!E:E="二轮交易"),0)),IFERROR(INDEX(交易历史!C:C,MATCH(1,(交易历史!A:A=A194)*(交易历史!E:E="首轮交易"),0)),""))))</f>
        <v/>
      </c>
      <c r="G194" s="291" t="str">
        <f>IF(A194&lt;&gt;"",_xlfn.MAXIFS($B$12:$B$210,$A$12:$A$210,A194),"")</f>
        <v/>
      </c>
      <c r="H194" s="267" t="str">
        <f>IF(A194&lt;&gt;"",IF(COUNTIF($A194:$A$210,A194)=1,1,""),"")</f>
        <v/>
      </c>
    </row>
    <row r="195" spans="1:8">
      <c r="A195" s="297"/>
      <c r="B195" s="297"/>
      <c r="F195" s="290" t="str" cm="1">
        <f t="array" ref="F195">IFERROR(INDEX(交易历史!C:C,MATCH(1,(交易历史!A:A=A195)*(交易历史!E:E="四轮交易"),0)),IFERROR(INDEX(交易历史!C:C,MATCH(1,(交易历史!A:A=A195)*(交易历史!E:E="三轮交易"),0)),IFERROR(INDEX(交易历史!C:C,MATCH(1,(交易历史!A:A=A195)*(交易历史!E:E="二轮交易"),0)),IFERROR(INDEX(交易历史!C:C,MATCH(1,(交易历史!A:A=A195)*(交易历史!E:E="首轮交易"),0)),""))))</f>
        <v/>
      </c>
      <c r="G195" s="291" t="str">
        <f>IF(A195&lt;&gt;"",_xlfn.MAXIFS($B$12:$B$210,$A$12:$A$210,A195),"")</f>
        <v/>
      </c>
      <c r="H195" s="267" t="str">
        <f>IF(A195&lt;&gt;"",IF(COUNTIF($A195:$A$210,A195)=1,1,""),"")</f>
        <v/>
      </c>
    </row>
    <row r="196" spans="1:8">
      <c r="A196" s="297"/>
      <c r="B196" s="297"/>
      <c r="F196" s="290" t="str" cm="1">
        <f t="array" ref="F196">IFERROR(INDEX(交易历史!C:C,MATCH(1,(交易历史!A:A=A196)*(交易历史!E:E="四轮交易"),0)),IFERROR(INDEX(交易历史!C:C,MATCH(1,(交易历史!A:A=A196)*(交易历史!E:E="三轮交易"),0)),IFERROR(INDEX(交易历史!C:C,MATCH(1,(交易历史!A:A=A196)*(交易历史!E:E="二轮交易"),0)),IFERROR(INDEX(交易历史!C:C,MATCH(1,(交易历史!A:A=A196)*(交易历史!E:E="首轮交易"),0)),""))))</f>
        <v/>
      </c>
      <c r="G196" s="291" t="str">
        <f>IF(A196&lt;&gt;"",_xlfn.MAXIFS($B$12:$B$210,$A$12:$A$210,A196),"")</f>
        <v/>
      </c>
      <c r="H196" s="267" t="str">
        <f>IF(A196&lt;&gt;"",IF(COUNTIF($A196:$A$210,A196)=1,1,""),"")</f>
        <v/>
      </c>
    </row>
    <row r="197" spans="1:8">
      <c r="A197" s="297"/>
      <c r="B197" s="297"/>
      <c r="F197" s="290" t="str" cm="1">
        <f t="array" ref="F197">IFERROR(INDEX(交易历史!C:C,MATCH(1,(交易历史!A:A=A197)*(交易历史!E:E="四轮交易"),0)),IFERROR(INDEX(交易历史!C:C,MATCH(1,(交易历史!A:A=A197)*(交易历史!E:E="三轮交易"),0)),IFERROR(INDEX(交易历史!C:C,MATCH(1,(交易历史!A:A=A197)*(交易历史!E:E="二轮交易"),0)),IFERROR(INDEX(交易历史!C:C,MATCH(1,(交易历史!A:A=A197)*(交易历史!E:E="首轮交易"),0)),""))))</f>
        <v/>
      </c>
      <c r="G197" s="291" t="str">
        <f>IF(A197&lt;&gt;"",_xlfn.MAXIFS($B$12:$B$210,$A$12:$A$210,A197),"")</f>
        <v/>
      </c>
      <c r="H197" s="267" t="str">
        <f>IF(A197&lt;&gt;"",IF(COUNTIF($A197:$A$210,A197)=1,1,""),"")</f>
        <v/>
      </c>
    </row>
    <row r="198" spans="1:8">
      <c r="A198" s="297"/>
      <c r="B198" s="297"/>
      <c r="F198" s="290" t="str" cm="1">
        <f t="array" ref="F198">IFERROR(INDEX(交易历史!C:C,MATCH(1,(交易历史!A:A=A198)*(交易历史!E:E="四轮交易"),0)),IFERROR(INDEX(交易历史!C:C,MATCH(1,(交易历史!A:A=A198)*(交易历史!E:E="三轮交易"),0)),IFERROR(INDEX(交易历史!C:C,MATCH(1,(交易历史!A:A=A198)*(交易历史!E:E="二轮交易"),0)),IFERROR(INDEX(交易历史!C:C,MATCH(1,(交易历史!A:A=A198)*(交易历史!E:E="首轮交易"),0)),""))))</f>
        <v/>
      </c>
      <c r="G198" s="291" t="str">
        <f>IF(A198&lt;&gt;"",_xlfn.MAXIFS($B$12:$B$210,$A$12:$A$210,A198),"")</f>
        <v/>
      </c>
      <c r="H198" s="267" t="str">
        <f>IF(A198&lt;&gt;"",IF(COUNTIF($A198:$A$210,A198)=1,1,""),"")</f>
        <v/>
      </c>
    </row>
    <row r="199" spans="1:8">
      <c r="A199" s="297"/>
      <c r="B199" s="297"/>
      <c r="F199" s="290" t="str" cm="1">
        <f t="array" ref="F199">IFERROR(INDEX(交易历史!C:C,MATCH(1,(交易历史!A:A=A199)*(交易历史!E:E="四轮交易"),0)),IFERROR(INDEX(交易历史!C:C,MATCH(1,(交易历史!A:A=A199)*(交易历史!E:E="三轮交易"),0)),IFERROR(INDEX(交易历史!C:C,MATCH(1,(交易历史!A:A=A199)*(交易历史!E:E="二轮交易"),0)),IFERROR(INDEX(交易历史!C:C,MATCH(1,(交易历史!A:A=A199)*(交易历史!E:E="首轮交易"),0)),""))))</f>
        <v/>
      </c>
      <c r="G199" s="291" t="str">
        <f>IF(A199&lt;&gt;"",_xlfn.MAXIFS($B$12:$B$210,$A$12:$A$210,A199),"")</f>
        <v/>
      </c>
      <c r="H199" s="267" t="str">
        <f>IF(A199&lt;&gt;"",IF(COUNTIF($A199:$A$210,A199)=1,1,""),"")</f>
        <v/>
      </c>
    </row>
    <row r="200" spans="1:8">
      <c r="A200" s="297"/>
      <c r="B200" s="297"/>
      <c r="F200" s="290" t="str" cm="1">
        <f t="array" ref="F200">IFERROR(INDEX(交易历史!C:C,MATCH(1,(交易历史!A:A=A200)*(交易历史!E:E="四轮交易"),0)),IFERROR(INDEX(交易历史!C:C,MATCH(1,(交易历史!A:A=A200)*(交易历史!E:E="三轮交易"),0)),IFERROR(INDEX(交易历史!C:C,MATCH(1,(交易历史!A:A=A200)*(交易历史!E:E="二轮交易"),0)),IFERROR(INDEX(交易历史!C:C,MATCH(1,(交易历史!A:A=A200)*(交易历史!E:E="首轮交易"),0)),""))))</f>
        <v/>
      </c>
      <c r="G200" s="291" t="str">
        <f>IF(A200&lt;&gt;"",_xlfn.MAXIFS($B$12:$B$210,$A$12:$A$210,A200),"")</f>
        <v/>
      </c>
      <c r="H200" s="267" t="str">
        <f>IF(A200&lt;&gt;"",IF(COUNTIF($A200:$A$210,A200)=1,1,""),"")</f>
        <v/>
      </c>
    </row>
    <row r="201" spans="1:8">
      <c r="A201" s="297"/>
      <c r="B201" s="297"/>
      <c r="F201" s="290" t="str" cm="1">
        <f t="array" ref="F201">IFERROR(INDEX(交易历史!C:C,MATCH(1,(交易历史!A:A=A201)*(交易历史!E:E="四轮交易"),0)),IFERROR(INDEX(交易历史!C:C,MATCH(1,(交易历史!A:A=A201)*(交易历史!E:E="三轮交易"),0)),IFERROR(INDEX(交易历史!C:C,MATCH(1,(交易历史!A:A=A201)*(交易历史!E:E="二轮交易"),0)),IFERROR(INDEX(交易历史!C:C,MATCH(1,(交易历史!A:A=A201)*(交易历史!E:E="首轮交易"),0)),""))))</f>
        <v/>
      </c>
      <c r="G201" s="291" t="str">
        <f>IF(A201&lt;&gt;"",_xlfn.MAXIFS($B$12:$B$210,$A$12:$A$210,A201),"")</f>
        <v/>
      </c>
      <c r="H201" s="267" t="str">
        <f>IF(A201&lt;&gt;"",IF(COUNTIF($A201:$A$210,A201)=1,1,""),"")</f>
        <v/>
      </c>
    </row>
    <row r="202" spans="1:8">
      <c r="A202" s="297"/>
      <c r="B202" s="297"/>
      <c r="F202" s="290" t="str" cm="1">
        <f t="array" ref="F202">IFERROR(INDEX(交易历史!C:C,MATCH(1,(交易历史!A:A=A202)*(交易历史!E:E="四轮交易"),0)),IFERROR(INDEX(交易历史!C:C,MATCH(1,(交易历史!A:A=A202)*(交易历史!E:E="三轮交易"),0)),IFERROR(INDEX(交易历史!C:C,MATCH(1,(交易历史!A:A=A202)*(交易历史!E:E="二轮交易"),0)),IFERROR(INDEX(交易历史!C:C,MATCH(1,(交易历史!A:A=A202)*(交易历史!E:E="首轮交易"),0)),""))))</f>
        <v/>
      </c>
      <c r="G202" s="291" t="str">
        <f>IF(A202&lt;&gt;"",_xlfn.MAXIFS($B$12:$B$210,$A$12:$A$210,A202),"")</f>
        <v/>
      </c>
      <c r="H202" s="267" t="str">
        <f>IF(A202&lt;&gt;"",IF(COUNTIF($A202:$A$210,A202)=1,1,""),"")</f>
        <v/>
      </c>
    </row>
    <row r="203" spans="1:8">
      <c r="A203" s="297"/>
      <c r="B203" s="297"/>
      <c r="F203" s="290" t="str" cm="1">
        <f t="array" ref="F203">IFERROR(INDEX(交易历史!C:C,MATCH(1,(交易历史!A:A=A203)*(交易历史!E:E="四轮交易"),0)),IFERROR(INDEX(交易历史!C:C,MATCH(1,(交易历史!A:A=A203)*(交易历史!E:E="三轮交易"),0)),IFERROR(INDEX(交易历史!C:C,MATCH(1,(交易历史!A:A=A203)*(交易历史!E:E="二轮交易"),0)),IFERROR(INDEX(交易历史!C:C,MATCH(1,(交易历史!A:A=A203)*(交易历史!E:E="首轮交易"),0)),""))))</f>
        <v/>
      </c>
      <c r="G203" s="291" t="str">
        <f>IF(A203&lt;&gt;"",_xlfn.MAXIFS($B$12:$B$210,$A$12:$A$210,A203),"")</f>
        <v/>
      </c>
      <c r="H203" s="267" t="str">
        <f>IF(A203&lt;&gt;"",IF(COUNTIF($A203:$A$210,A203)=1,1,""),"")</f>
        <v/>
      </c>
    </row>
    <row r="204" spans="1:8">
      <c r="A204" s="297"/>
      <c r="B204" s="297"/>
      <c r="F204" s="290" t="str" cm="1">
        <f t="array" ref="F204">IFERROR(INDEX(交易历史!C:C,MATCH(1,(交易历史!A:A=A204)*(交易历史!E:E="四轮交易"),0)),IFERROR(INDEX(交易历史!C:C,MATCH(1,(交易历史!A:A=A204)*(交易历史!E:E="三轮交易"),0)),IFERROR(INDEX(交易历史!C:C,MATCH(1,(交易历史!A:A=A204)*(交易历史!E:E="二轮交易"),0)),IFERROR(INDEX(交易历史!C:C,MATCH(1,(交易历史!A:A=A204)*(交易历史!E:E="首轮交易"),0)),""))))</f>
        <v/>
      </c>
      <c r="G204" s="291" t="str">
        <f>IF(A204&lt;&gt;"",_xlfn.MAXIFS($B$12:$B$210,$A$12:$A$210,A204),"")</f>
        <v/>
      </c>
      <c r="H204" s="267" t="str">
        <f>IF(A204&lt;&gt;"",IF(COUNTIF($A204:$A$210,A204)=1,1,""),"")</f>
        <v/>
      </c>
    </row>
    <row r="205" spans="1:8">
      <c r="A205" s="297"/>
      <c r="B205" s="297"/>
      <c r="F205" s="290" t="str" cm="1">
        <f t="array" ref="F205">IFERROR(INDEX(交易历史!C:C,MATCH(1,(交易历史!A:A=A205)*(交易历史!E:E="四轮交易"),0)),IFERROR(INDEX(交易历史!C:C,MATCH(1,(交易历史!A:A=A205)*(交易历史!E:E="三轮交易"),0)),IFERROR(INDEX(交易历史!C:C,MATCH(1,(交易历史!A:A=A205)*(交易历史!E:E="二轮交易"),0)),IFERROR(INDEX(交易历史!C:C,MATCH(1,(交易历史!A:A=A205)*(交易历史!E:E="首轮交易"),0)),""))))</f>
        <v/>
      </c>
      <c r="G205" s="291" t="str">
        <f>IF(A205&lt;&gt;"",_xlfn.MAXIFS($B$12:$B$210,$A$12:$A$210,A205),"")</f>
        <v/>
      </c>
      <c r="H205" s="298" t="str">
        <f>IF(A127&lt;&gt;"",IF(COUNTIF($A127:$A$210,A127)=1,1,""),"")</f>
        <v/>
      </c>
    </row>
    <row r="206" spans="1:8">
      <c r="A206" s="297"/>
      <c r="B206" s="297"/>
      <c r="F206" s="290" t="str" cm="1">
        <f t="array" ref="F206">IFERROR(INDEX(交易历史!C:C,MATCH(1,(交易历史!A:A=A206)*(交易历史!E:E="四轮交易"),0)),IFERROR(INDEX(交易历史!C:C,MATCH(1,(交易历史!A:A=A206)*(交易历史!E:E="三轮交易"),0)),IFERROR(INDEX(交易历史!C:C,MATCH(1,(交易历史!A:A=A206)*(交易历史!E:E="二轮交易"),0)),IFERROR(INDEX(交易历史!C:C,MATCH(1,(交易历史!A:A=A206)*(交易历史!E:E="首轮交易"),0)),""))))</f>
        <v/>
      </c>
      <c r="G206" s="291" t="str">
        <f>IF(A206&lt;&gt;"",_xlfn.MAXIFS($B$12:$B$210,$A$12:$A$210,A206),"")</f>
        <v/>
      </c>
      <c r="H206" s="298" t="str">
        <f>IF(A128&lt;&gt;"",IF(COUNTIF($A128:$A$210,A128)=1,1,""),"")</f>
        <v/>
      </c>
    </row>
    <row r="207" spans="1:8">
      <c r="A207" s="297"/>
      <c r="B207" s="297"/>
      <c r="F207" s="290" t="str" cm="1">
        <f t="array" ref="F207">IFERROR(INDEX(交易历史!C:C,MATCH(1,(交易历史!A:A=A207)*(交易历史!E:E="四轮交易"),0)),IFERROR(INDEX(交易历史!C:C,MATCH(1,(交易历史!A:A=A207)*(交易历史!E:E="三轮交易"),0)),IFERROR(INDEX(交易历史!C:C,MATCH(1,(交易历史!A:A=A207)*(交易历史!E:E="二轮交易"),0)),IFERROR(INDEX(交易历史!C:C,MATCH(1,(交易历史!A:A=A207)*(交易历史!E:E="首轮交易"),0)),""))))</f>
        <v/>
      </c>
      <c r="G207" s="291" t="str">
        <f>IF(A207&lt;&gt;"",_xlfn.MAXIFS($B$12:$B$210,$A$12:$A$210,A207),"")</f>
        <v/>
      </c>
      <c r="H207" s="298" t="str">
        <f>IF(A129&lt;&gt;"",IF(COUNTIF($A129:$A$210,A129)=1,1,""),"")</f>
        <v/>
      </c>
    </row>
    <row r="208" spans="1:8">
      <c r="A208" s="297"/>
      <c r="B208" s="297"/>
      <c r="F208" s="290" t="str" cm="1">
        <f t="array" ref="F208">IFERROR(INDEX(交易历史!C:C,MATCH(1,(交易历史!A:A=A208)*(交易历史!E:E="四轮交易"),0)),IFERROR(INDEX(交易历史!C:C,MATCH(1,(交易历史!A:A=A208)*(交易历史!E:E="三轮交易"),0)),IFERROR(INDEX(交易历史!C:C,MATCH(1,(交易历史!A:A=A208)*(交易历史!E:E="二轮交易"),0)),IFERROR(INDEX(交易历史!C:C,MATCH(1,(交易历史!A:A=A208)*(交易历史!E:E="首轮交易"),0)),""))))</f>
        <v/>
      </c>
      <c r="G208" s="291" t="str">
        <f>IF(A208&lt;&gt;"",_xlfn.MAXIFS($B$12:$B$210,$A$12:$A$210,A208),"")</f>
        <v/>
      </c>
      <c r="H208" s="298" t="str">
        <f>IF(A130&lt;&gt;"",IF(COUNTIF($A130:$A$210,A130)=1,1,""),"")</f>
        <v/>
      </c>
    </row>
    <row r="209" spans="1:8">
      <c r="A209" s="297"/>
      <c r="B209" s="297"/>
      <c r="F209" s="290" t="str" cm="1">
        <f t="array" ref="F209">IFERROR(INDEX(交易历史!C:C,MATCH(1,(交易历史!A:A=A209)*(交易历史!E:E="四轮交易"),0)),IFERROR(INDEX(交易历史!C:C,MATCH(1,(交易历史!A:A=A209)*(交易历史!E:E="三轮交易"),0)),IFERROR(INDEX(交易历史!C:C,MATCH(1,(交易历史!A:A=A209)*(交易历史!E:E="二轮交易"),0)),IFERROR(INDEX(交易历史!C:C,MATCH(1,(交易历史!A:A=A209)*(交易历史!E:E="首轮交易"),0)),""))))</f>
        <v/>
      </c>
      <c r="G209" s="291" t="str">
        <f>IF(A209&lt;&gt;"",_xlfn.MAXIFS($B$12:$B$210,$A$12:$A$210,A209),"")</f>
        <v/>
      </c>
      <c r="H209" s="298" t="str">
        <f>IF(A131&lt;&gt;"",IF(COUNTIF($A131:$A$210,A131)=1,1,""),"")</f>
        <v/>
      </c>
    </row>
    <row r="210" spans="1:8">
      <c r="A210" s="297"/>
      <c r="B210" s="297"/>
      <c r="F210" s="290" t="str" cm="1">
        <f t="array" ref="F210">IFERROR(INDEX(交易历史!C:C,MATCH(1,(交易历史!A:A=A210)*(交易历史!E:E="四轮交易"),0)),IFERROR(INDEX(交易历史!C:C,MATCH(1,(交易历史!A:A=A210)*(交易历史!E:E="三轮交易"),0)),IFERROR(INDEX(交易历史!C:C,MATCH(1,(交易历史!A:A=A210)*(交易历史!E:E="二轮交易"),0)),IFERROR(INDEX(交易历史!C:C,MATCH(1,(交易历史!A:A=A210)*(交易历史!E:E="首轮交易"),0)),""))))</f>
        <v/>
      </c>
      <c r="G210" s="294"/>
      <c r="H210" s="298" t="str">
        <f>IF(A132&lt;&gt;"",IF(COUNTIF($A132:$A$210,A132)=1,1,""),"")</f>
        <v/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G1"/>
    <mergeCell ref="E2:G2"/>
    <mergeCell ref="E3:G3"/>
    <mergeCell ref="E4:G4"/>
    <mergeCell ref="E5:G5"/>
    <mergeCell ref="E6:G6"/>
    <mergeCell ref="E7:G7"/>
    <mergeCell ref="E8:G8"/>
    <mergeCell ref="E9:G9"/>
    <mergeCell ref="E10:G10"/>
  </mergeCells>
  <conditionalFormatting sqref="B11:B1048576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{0891e052-057d-49c5-89ec-4ed3a8b40916}</x14:id>
        </ext>
      </extLst>
    </cfRule>
  </conditionalFormatting>
  <conditionalFormatting sqref="C3:C10">
    <cfRule type="iconSet" priority="4">
      <iconSet iconSet="3Symbols">
        <cfvo type="percent" val="0"/>
        <cfvo type="num" val="0" gte="0"/>
        <cfvo type="num" val="500"/>
      </iconSet>
    </cfRule>
  </conditionalFormatting>
  <conditionalFormatting sqref="D3:D10">
    <cfRule type="expression" dxfId="4" priority="3">
      <formula>C3&lt;=0</formula>
    </cfRule>
    <cfRule type="expression" dxfId="5" priority="2">
      <formula>AND(C3&gt;0,C3&lt;=500)</formula>
    </cfRule>
    <cfRule type="expression" dxfId="6" priority="1">
      <formula>C3&gt;500</formula>
    </cfRule>
  </conditionalFormatting>
  <conditionalFormatting sqref="$A11:$XFD1048576">
    <cfRule type="cellIs" dxfId="18" priority="10" operator="equal">
      <formula>"【OldH】老H犟嘴"</formula>
    </cfRule>
    <cfRule type="cellIs" dxfId="19" priority="11" operator="equal">
      <formula>"【CbHz】吃饱喝足就是玩"</formula>
    </cfRule>
    <cfRule type="cellIs" dxfId="20" priority="12" operator="equal">
      <formula>"【Miniworld】迷你世界"</formula>
    </cfRule>
    <cfRule type="cellIs" dxfId="21" priority="13" operator="equal">
      <formula>"【TV】Team Vitality"</formula>
    </cfRule>
    <cfRule type="cellIs" dxfId="22" priority="14" operator="equal">
      <formula>"【NikoFC】NikoCN Fanclub"</formula>
    </cfRule>
    <cfRule type="cellIs" dxfId="23" priority="15" operator="equal">
      <formula>"【AWO】逃出生天"</formula>
    </cfRule>
    <cfRule type="cellIs" dxfId="24" priority="16" operator="equal">
      <formula>"【SSR】Superior Super Rare"</formula>
    </cfRule>
    <cfRule type="cellIs" dxfId="25" priority="17" operator="equal">
      <formula>"【G2】G2‭"</formula>
    </cfRule>
  </conditionalFormatting>
  <conditionalFormatting sqref="G11:G1048576 B11:B1048576">
    <cfRule type="cellIs" dxfId="26" priority="5" operator="equal">
      <formula>0</formula>
    </cfRule>
  </conditionalFormatting>
  <conditionalFormatting sqref="B12:B210 G12:G210">
    <cfRule type="cellIs" dxfId="27" priority="6" operator="between">
      <formula>1</formula>
      <formula>49</formula>
    </cfRule>
    <cfRule type="cellIs" dxfId="28" priority="7" operator="between">
      <formula>50</formula>
      <formula>199</formula>
    </cfRule>
    <cfRule type="cellIs" dxfId="29" priority="8" operator="between">
      <formula>200</formula>
      <formula>499</formula>
    </cfRule>
    <cfRule type="cellIs" dxfId="30" priority="9" operator="greaterThanOrEqual">
      <formula>500</formula>
    </cfRule>
  </conditionalFormatting>
  <dataValidations count="3">
    <dataValidation type="list" allowBlank="1" sqref="A126 A127 A128 A12:A125 A129:A210">
      <formula1/>
    </dataValidation>
    <dataValidation type="list" allowBlank="1" showErrorMessage="1" errorTitle="错误提示" error="请输入下拉列表中的值" sqref="E12:E1048576">
      <formula1>"首轮交易,二轮交易,三轮交易,四轮交易"</formula1>
    </dataValidation>
    <dataValidation type="list" allowBlank="1" sqref="C12:D210">
      <formula1>"【CbHz】吃饱喝足就是玩,【SSR】Superior Super Rare,【OldH】老H犟嘴,【AWO】逃出生天,【G2】G2‭,【TV】Team Vitality,【Miniworld】迷你世界,【NikoFC】NikoCN Fanclub"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91e052-057d-49c5-89ec-4ed3a8b409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B11:B1048576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82"/>
  <sheetViews>
    <sheetView showGridLines="0" zoomScale="70" zoomScaleNormal="70" workbookViewId="0">
      <selection activeCell="S40" sqref="S40"/>
    </sheetView>
  </sheetViews>
  <sheetFormatPr defaultColWidth="8" defaultRowHeight="20" customHeight="1"/>
  <cols>
    <col min="1" max="1" width="5" style="63" customWidth="1"/>
    <col min="2" max="4" width="18.3333333333333" style="63" customWidth="1"/>
    <col min="5" max="5" width="5" style="63" customWidth="1"/>
    <col min="6" max="8" width="18.3333333333333" style="63" customWidth="1"/>
    <col min="9" max="9" width="5" style="63" customWidth="1"/>
    <col min="10" max="12" width="18.3333333333333" style="63" customWidth="1"/>
    <col min="13" max="13" width="5" style="63" customWidth="1"/>
    <col min="14" max="16" width="18.3333333333333" style="63" customWidth="1"/>
    <col min="17" max="16380" width="8" style="63" customWidth="1"/>
    <col min="16381" max="16384" width="8" style="63"/>
  </cols>
  <sheetData>
    <row r="2" s="105" customFormat="1" ht="25" customHeight="1" spans="2:18">
      <c r="B2" s="107" t="s">
        <v>226</v>
      </c>
      <c r="C2" s="108"/>
      <c r="D2" s="109"/>
      <c r="E2" s="110"/>
      <c r="F2" s="111" t="s">
        <v>227</v>
      </c>
      <c r="G2" s="112"/>
      <c r="H2" s="113"/>
      <c r="I2" s="110"/>
      <c r="J2" s="190" t="s">
        <v>228</v>
      </c>
      <c r="K2" s="112"/>
      <c r="L2" s="113"/>
      <c r="M2" s="110"/>
      <c r="N2" s="191" t="s">
        <v>229</v>
      </c>
      <c r="O2" s="112"/>
      <c r="P2" s="113"/>
      <c r="Q2" s="110"/>
      <c r="R2" s="110"/>
    </row>
    <row r="3" s="27" customFormat="1" customHeight="1" spans="2:18">
      <c r="B3" s="114" t="s">
        <v>22</v>
      </c>
      <c r="C3" s="115" t="s">
        <v>230</v>
      </c>
      <c r="D3" s="116" t="s">
        <v>231</v>
      </c>
      <c r="E3" s="117"/>
      <c r="F3" s="114" t="s">
        <v>22</v>
      </c>
      <c r="G3" s="115" t="s">
        <v>230</v>
      </c>
      <c r="H3" s="116" t="s">
        <v>231</v>
      </c>
      <c r="I3" s="117"/>
      <c r="J3" s="114" t="s">
        <v>22</v>
      </c>
      <c r="K3" s="115" t="s">
        <v>230</v>
      </c>
      <c r="L3" s="116" t="s">
        <v>231</v>
      </c>
      <c r="M3" s="117"/>
      <c r="N3" s="114" t="s">
        <v>22</v>
      </c>
      <c r="O3" s="115" t="s">
        <v>230</v>
      </c>
      <c r="P3" s="116" t="s">
        <v>231</v>
      </c>
      <c r="Q3" s="117"/>
      <c r="R3" s="117"/>
    </row>
    <row r="4" s="27" customFormat="1" customHeight="1" spans="2:18">
      <c r="B4" s="118" t="s">
        <v>7</v>
      </c>
      <c r="C4" s="119">
        <v>750</v>
      </c>
      <c r="D4" s="120"/>
      <c r="E4" s="117"/>
      <c r="F4" s="309" t="s">
        <v>9</v>
      </c>
      <c r="G4" s="119">
        <v>450</v>
      </c>
      <c r="H4" s="120"/>
      <c r="I4" s="117"/>
      <c r="J4" s="309" t="s">
        <v>11</v>
      </c>
      <c r="K4" s="119">
        <v>900</v>
      </c>
      <c r="L4" s="120"/>
      <c r="M4" s="117"/>
      <c r="N4" s="192" t="s">
        <v>232</v>
      </c>
      <c r="O4" s="119">
        <v>800</v>
      </c>
      <c r="P4" s="120"/>
      <c r="Q4" s="117"/>
      <c r="R4" s="117"/>
    </row>
    <row r="5" s="27" customFormat="1" customHeight="1" spans="2:18">
      <c r="B5" s="121" t="str" cm="1">
        <f t="array" ref="B5:B15">IFERROR(_xlfn._xlws.FILTER(交易历史!$A$12:$A$210,(交易历史!$F$12:$F$210="【CbHz】吃饱喝足就是玩")*(交易历史!$H$12:$H$210=1)),"")</f>
        <v>GJY</v>
      </c>
      <c r="C5" s="122" cm="1">
        <f t="array" ref="C5:C15">IFERROR(_xlfn._xlws.FILTER(交易历史!$G$12:$G$210,(交易历史!$C$12:$C$210="【CbHz】吃饱喝足就是玩")*(交易历史!$H$12:$H$210=1)),"")</f>
        <v>0</v>
      </c>
      <c r="D5" s="123"/>
      <c r="E5" s="117"/>
      <c r="F5" s="124" t="str" cm="1">
        <f t="array" ref="F5:F13">IFERROR(_xlfn._xlws.FILTER(交易历史!$A$12:$A$210,(交易历史!$F$12:$F$210="【SSR】Superior Super Rare")*(交易历史!$H$12:$H$210=1)),"")</f>
        <v>小鱼</v>
      </c>
      <c r="G5" s="125" cm="1">
        <f t="array" ref="G5:G13">IFERROR(_xlfn._xlws.FILTER(交易历史!$G$12:$G$210,(交易历史!$C$12:$C$210="【SSR】Superior Super Rare")*(交易历史!$H$12:$H$210=1)),"")</f>
        <v>80</v>
      </c>
      <c r="H5" s="126"/>
      <c r="I5" s="117"/>
      <c r="J5" s="193" t="str" cm="1">
        <f t="array" ref="J5:J15">IFERROR(_xlfn._xlws.FILTER(交易历史!$A$12:$A$210,(交易历史!$F$12:$F$210="【OldH】老H犟嘴")*(交易历史!$H$12:$H$210=1)),"")</f>
        <v>宝爹</v>
      </c>
      <c r="K5" s="194" cm="1">
        <f t="array" ref="K5:K15">IFERROR(_xlfn._xlws.FILTER(交易历史!$G$12:$G$210,(交易历史!$C$12:$C$210="【OldH】老H犟嘴")*(交易历史!$H$12:$H$210=1)),"")</f>
        <v>360</v>
      </c>
      <c r="L5" s="195"/>
      <c r="M5" s="117"/>
      <c r="N5" s="196" t="str" cm="1">
        <f t="array" ref="N5:N13">IFERROR(_xlfn._xlws.FILTER(交易历史!$A$12:$A$210,(交易历史!$F$12:$F$210="【AWO】逃出生天")*(交易历史!$H$12:$H$210=1)),"")</f>
        <v>Mengdong</v>
      </c>
      <c r="O5" s="197" cm="1">
        <f t="array" ref="O5:O13">IFERROR(_xlfn._xlws.FILTER(交易历史!$G$12:$G$210,(交易历史!$C$12:$C$210="【AWO】逃出生天")*(交易历史!$H$12:$H$210=1)),"")</f>
        <v>0</v>
      </c>
      <c r="P5" s="198"/>
      <c r="Q5" s="117"/>
      <c r="R5" s="117"/>
    </row>
    <row r="6" s="27" customFormat="1" customHeight="1" spans="2:18">
      <c r="B6" s="121" t="str">
        <v>豆子</v>
      </c>
      <c r="C6" s="122">
        <v>660</v>
      </c>
      <c r="D6" s="123"/>
      <c r="E6" s="117"/>
      <c r="F6" s="124" t="str">
        <v>史蒂夫</v>
      </c>
      <c r="G6" s="125">
        <v>400</v>
      </c>
      <c r="H6" s="126"/>
      <c r="I6" s="117"/>
      <c r="J6" s="193" t="str">
        <v>苏西斯</v>
      </c>
      <c r="K6" s="194">
        <v>100</v>
      </c>
      <c r="L6" s="195"/>
      <c r="M6" s="117"/>
      <c r="N6" s="196" t="str">
        <v>HorN_kukuko
</v>
      </c>
      <c r="O6" s="197">
        <v>20</v>
      </c>
      <c r="P6" s="198"/>
      <c r="Q6" s="117"/>
      <c r="R6" s="117"/>
    </row>
    <row r="7" s="27" customFormat="1" customHeight="1" spans="2:18">
      <c r="B7" s="121" t="str">
        <v>罗加</v>
      </c>
      <c r="C7" s="122">
        <v>0</v>
      </c>
      <c r="D7" s="123"/>
      <c r="E7" s="117"/>
      <c r="F7" s="124" t="str">
        <v>王水灵</v>
      </c>
      <c r="G7" s="125">
        <v>10</v>
      </c>
      <c r="H7" s="126"/>
      <c r="I7" s="117"/>
      <c r="J7" s="193" t="str">
        <v>Ezio</v>
      </c>
      <c r="K7" s="194">
        <v>30</v>
      </c>
      <c r="L7" s="195"/>
      <c r="M7" s="117"/>
      <c r="N7" s="196" t="str">
        <v>DH</v>
      </c>
      <c r="O7" s="197">
        <v>130</v>
      </c>
      <c r="P7" s="198"/>
      <c r="Q7" s="117"/>
      <c r="R7" s="117"/>
    </row>
    <row r="8" s="27" customFormat="1" customHeight="1" spans="2:18">
      <c r="B8" s="127" t="str">
        <v>twocat</v>
      </c>
      <c r="C8" s="128">
        <v>0</v>
      </c>
      <c r="D8" s="129"/>
      <c r="E8" s="117"/>
      <c r="F8" s="130" t="str">
        <v>Luvv</v>
      </c>
      <c r="G8" s="131">
        <v>200</v>
      </c>
      <c r="H8" s="132"/>
      <c r="I8" s="117"/>
      <c r="J8" s="199" t="str">
        <v>KR_YuXuan</v>
      </c>
      <c r="K8" s="200">
        <v>500</v>
      </c>
      <c r="L8" s="201"/>
      <c r="M8" s="117"/>
      <c r="N8" s="202" t="str">
        <v>parrot</v>
      </c>
      <c r="O8" s="203">
        <v>80</v>
      </c>
      <c r="P8" s="204"/>
      <c r="Q8" s="117"/>
      <c r="R8" s="117"/>
    </row>
    <row r="9" s="27" customFormat="1" customHeight="1" spans="2:18">
      <c r="B9" s="121" t="str">
        <v>jmz </v>
      </c>
      <c r="C9" s="122">
        <v>800</v>
      </c>
      <c r="D9" s="123"/>
      <c r="E9" s="117"/>
      <c r="F9" s="124" t="str">
        <v>艾拉AL</v>
      </c>
      <c r="G9" s="125">
        <v>10</v>
      </c>
      <c r="H9" s="126"/>
      <c r="I9" s="117"/>
      <c r="J9" s="193" t="str">
        <v>ai</v>
      </c>
      <c r="K9" s="194">
        <v>100</v>
      </c>
      <c r="L9" s="195"/>
      <c r="M9" s="117"/>
      <c r="N9" s="196" t="str">
        <v>城府</v>
      </c>
      <c r="O9" s="197">
        <v>190</v>
      </c>
      <c r="P9" s="198"/>
      <c r="Q9" s="117"/>
      <c r="R9" s="117"/>
    </row>
    <row r="10" s="27" customFormat="1" customHeight="1" spans="2:18">
      <c r="B10" s="121" t="str">
        <v>baimayinqiang</v>
      </c>
      <c r="C10" s="122">
        <v>10</v>
      </c>
      <c r="D10" s="123"/>
      <c r="E10" s="117"/>
      <c r="F10" s="124" t="str">
        <v>骑砍皇帝</v>
      </c>
      <c r="G10" s="125">
        <v>700</v>
      </c>
      <c r="H10" s="126"/>
      <c r="I10" s="117"/>
      <c r="J10" s="193" t="str">
        <v>Motochika</v>
      </c>
      <c r="K10" s="194">
        <v>160</v>
      </c>
      <c r="L10" s="195"/>
      <c r="M10" s="117"/>
      <c r="N10" s="196" t="str">
        <v>knightzz</v>
      </c>
      <c r="O10" s="197">
        <v>850</v>
      </c>
      <c r="P10" s="198"/>
      <c r="Q10" s="117"/>
      <c r="R10" s="117"/>
    </row>
    <row r="11" s="27" customFormat="1" customHeight="1" spans="2:18">
      <c r="B11" s="121" t="str">
        <v>IC</v>
      </c>
      <c r="C11" s="122">
        <v>500</v>
      </c>
      <c r="D11" s="123"/>
      <c r="E11" s="117"/>
      <c r="F11" s="124" t="str">
        <v>小捷豹</v>
      </c>
      <c r="G11" s="125">
        <v>40</v>
      </c>
      <c r="H11" s="126"/>
      <c r="I11" s="117"/>
      <c r="J11" s="193" t="str">
        <v>LSSL</v>
      </c>
      <c r="K11" s="194">
        <v>90</v>
      </c>
      <c r="L11" s="195"/>
      <c r="M11" s="117"/>
      <c r="N11" s="196" t="str">
        <v>退休老人野望</v>
      </c>
      <c r="O11" s="197">
        <v>90</v>
      </c>
      <c r="P11" s="198"/>
      <c r="Q11" s="117"/>
      <c r="R11" s="117"/>
    </row>
    <row r="12" s="27" customFormat="1" customHeight="1" spans="2:18">
      <c r="B12" s="121" t="str">
        <v>xiaoye</v>
      </c>
      <c r="C12" s="122">
        <v>0</v>
      </c>
      <c r="D12" s="123"/>
      <c r="E12" s="117"/>
      <c r="F12" s="124" t="str">
        <v>威廉</v>
      </c>
      <c r="G12" s="125">
        <v>700</v>
      </c>
      <c r="H12" s="126"/>
      <c r="I12" s="117"/>
      <c r="J12" s="193" t="str">
        <v>shiran</v>
      </c>
      <c r="K12" s="194">
        <v>380</v>
      </c>
      <c r="L12" s="195"/>
      <c r="M12" s="117"/>
      <c r="N12" s="196" t="str">
        <v>比伯</v>
      </c>
      <c r="O12" s="197">
        <v>210</v>
      </c>
      <c r="P12" s="198"/>
      <c r="Q12" s="117"/>
      <c r="R12" s="117"/>
    </row>
    <row r="13" s="27" customFormat="1" customHeight="1" spans="2:18">
      <c r="B13" s="121" t="str">
        <v>MANGOL</v>
      </c>
      <c r="C13" s="122">
        <v>250</v>
      </c>
      <c r="D13" s="123"/>
      <c r="E13" s="117"/>
      <c r="F13" s="124" t="str">
        <v>Able</v>
      </c>
      <c r="G13" s="125">
        <v>410</v>
      </c>
      <c r="H13" s="126"/>
      <c r="I13" s="117"/>
      <c r="J13" s="193" t="str">
        <v>havoc</v>
      </c>
      <c r="K13" s="194">
        <v>150</v>
      </c>
      <c r="L13" s="195"/>
      <c r="M13" s="117"/>
      <c r="N13" s="196" t="str">
        <v>XiaoRen</v>
      </c>
      <c r="O13" s="197">
        <v>0</v>
      </c>
      <c r="P13" s="198"/>
      <c r="Q13" s="117"/>
      <c r="R13" s="117"/>
    </row>
    <row r="14" s="27" customFormat="1" customHeight="1" spans="2:18">
      <c r="B14" s="121" t="str">
        <v>芬克</v>
      </c>
      <c r="C14" s="122">
        <v>0</v>
      </c>
      <c r="D14" s="123"/>
      <c r="E14" s="117"/>
      <c r="F14" s="124"/>
      <c r="G14" s="125"/>
      <c r="H14" s="126"/>
      <c r="I14" s="117"/>
      <c r="J14" s="193" t="str">
        <v>1911/Dogmeat</v>
      </c>
      <c r="K14" s="194">
        <v>100</v>
      </c>
      <c r="L14" s="195"/>
      <c r="M14" s="117"/>
      <c r="N14" s="196"/>
      <c r="O14" s="197"/>
      <c r="P14" s="198"/>
      <c r="Q14" s="117"/>
      <c r="R14" s="117"/>
    </row>
    <row r="15" s="27" customFormat="1" customHeight="1" spans="2:18">
      <c r="B15" s="121" t="str">
        <v>阿氰</v>
      </c>
      <c r="C15" s="122">
        <v>10</v>
      </c>
      <c r="D15" s="123"/>
      <c r="E15" s="117"/>
      <c r="F15" s="124"/>
      <c r="G15" s="125"/>
      <c r="H15" s="126"/>
      <c r="I15" s="117"/>
      <c r="J15" s="193" t="str">
        <v>大西瓜</v>
      </c>
      <c r="K15" s="194">
        <v>100</v>
      </c>
      <c r="L15" s="195"/>
      <c r="M15" s="117"/>
      <c r="N15" s="196"/>
      <c r="O15" s="197"/>
      <c r="P15" s="198"/>
      <c r="Q15" s="117"/>
      <c r="R15" s="117"/>
    </row>
    <row r="16" s="27" customFormat="1" customHeight="1" spans="2:18">
      <c r="B16" s="121"/>
      <c r="C16" s="122"/>
      <c r="D16" s="123"/>
      <c r="E16" s="117"/>
      <c r="F16" s="124"/>
      <c r="G16" s="125"/>
      <c r="H16" s="126"/>
      <c r="I16" s="117"/>
      <c r="J16" s="193"/>
      <c r="K16" s="194"/>
      <c r="L16" s="195"/>
      <c r="M16" s="117"/>
      <c r="N16" s="196"/>
      <c r="O16" s="197"/>
      <c r="P16" s="198"/>
      <c r="Q16" s="117"/>
      <c r="R16" s="117"/>
    </row>
    <row r="17" s="27" customFormat="1" customHeight="1" spans="2:18">
      <c r="B17" s="121"/>
      <c r="C17" s="122"/>
      <c r="D17" s="123"/>
      <c r="E17" s="117"/>
      <c r="F17" s="124"/>
      <c r="G17" s="125"/>
      <c r="H17" s="126"/>
      <c r="I17" s="117"/>
      <c r="J17" s="193"/>
      <c r="K17" s="194"/>
      <c r="L17" s="195"/>
      <c r="M17" s="117"/>
      <c r="N17" s="196"/>
      <c r="O17" s="197"/>
      <c r="P17" s="198"/>
      <c r="Q17" s="117"/>
      <c r="R17" s="117"/>
    </row>
    <row r="18" customHeight="1" spans="2:18">
      <c r="B18" s="121"/>
      <c r="C18" s="122"/>
      <c r="D18" s="123"/>
      <c r="E18" s="62"/>
      <c r="F18" s="124"/>
      <c r="G18" s="125"/>
      <c r="H18" s="126"/>
      <c r="I18" s="62"/>
      <c r="J18" s="193"/>
      <c r="K18" s="194"/>
      <c r="L18" s="195"/>
      <c r="M18" s="62"/>
      <c r="N18" s="196"/>
      <c r="O18" s="197"/>
      <c r="P18" s="198"/>
      <c r="Q18" s="62"/>
      <c r="R18" s="62"/>
    </row>
    <row r="19" customHeight="1" spans="2:18">
      <c r="B19" s="121"/>
      <c r="C19" s="122"/>
      <c r="D19" s="123"/>
      <c r="E19" s="62"/>
      <c r="F19" s="124"/>
      <c r="G19" s="125"/>
      <c r="H19" s="126"/>
      <c r="I19" s="62"/>
      <c r="J19" s="193"/>
      <c r="K19" s="194"/>
      <c r="L19" s="195"/>
      <c r="M19" s="62"/>
      <c r="N19" s="196"/>
      <c r="O19" s="197"/>
      <c r="P19" s="198"/>
      <c r="Q19" s="62"/>
      <c r="R19" s="62"/>
    </row>
    <row r="20" customHeight="1" spans="2:18">
      <c r="B20" s="121" t="str">
        <f>IFERROR(_xlfn._xlws.FILTER(转会市场!$A$12:$A$144,转会市场!$F$12:$F$144="【AWO】逃出'生天"),"")</f>
        <v/>
      </c>
      <c r="C20" s="122" t="str">
        <f>IFERROR(_xlfn._xlws.FILTER(转会市场!$C$12:$C$144,转会市场!$F$12:$F$144="【AWO】逃出'生天"),"")</f>
        <v/>
      </c>
      <c r="D20" s="123"/>
      <c r="E20" s="62"/>
      <c r="F20" s="124"/>
      <c r="G20" s="125"/>
      <c r="H20" s="126"/>
      <c r="I20" s="62"/>
      <c r="J20" s="193"/>
      <c r="K20" s="194"/>
      <c r="L20" s="195"/>
      <c r="M20" s="62"/>
      <c r="N20" s="196"/>
      <c r="O20" s="197"/>
      <c r="P20" s="198"/>
      <c r="Q20" s="62"/>
      <c r="R20" s="62"/>
    </row>
    <row r="21" customHeight="1" spans="2:18">
      <c r="B21" s="121" t="str">
        <f>IFERROR(_xlfn._xlws.FILTER(转会市场!$A$12:$A$144,转会市场!$F$12:$F$144="【AWO】逃出'生天"),"")</f>
        <v/>
      </c>
      <c r="C21" s="122" t="str">
        <f>IFERROR(_xlfn._xlws.FILTER(转会市场!$C$12:$C$144,转会市场!$F$12:$F$144="【AWO】逃出'生天"),"")</f>
        <v/>
      </c>
      <c r="D21" s="123"/>
      <c r="E21" s="62"/>
      <c r="F21" s="124"/>
      <c r="G21" s="125"/>
      <c r="H21" s="126"/>
      <c r="I21" s="62"/>
      <c r="J21" s="193"/>
      <c r="K21" s="194"/>
      <c r="L21" s="195"/>
      <c r="M21" s="62"/>
      <c r="N21" s="196"/>
      <c r="O21" s="197"/>
      <c r="P21" s="198"/>
      <c r="Q21" s="62"/>
      <c r="R21" s="62"/>
    </row>
    <row r="22" customHeight="1" spans="2:18">
      <c r="B22" s="133" t="str">
        <f>IFERROR(_xlfn._xlws.FILTER(转会市场!$A$12:$A$144,转会市场!$F$12:$F$144="【AWO】逃出'生天"),"")</f>
        <v/>
      </c>
      <c r="C22" s="134" t="str">
        <f>IFERROR(_xlfn._xlws.FILTER(转会市场!$C$12:$C$144,转会市场!$F$12:$F$144="【AWO】逃出'生天"),"")</f>
        <v/>
      </c>
      <c r="D22" s="135"/>
      <c r="E22" s="62"/>
      <c r="F22" s="136"/>
      <c r="G22" s="137"/>
      <c r="H22" s="138"/>
      <c r="I22" s="62"/>
      <c r="J22" s="205"/>
      <c r="K22" s="206"/>
      <c r="L22" s="207"/>
      <c r="M22" s="62"/>
      <c r="N22" s="208"/>
      <c r="O22" s="209"/>
      <c r="P22" s="210"/>
      <c r="Q22" s="62"/>
      <c r="R22" s="62"/>
    </row>
    <row r="23" customHeight="1" spans="2:18">
      <c r="B23" s="139" t="s">
        <v>233</v>
      </c>
      <c r="C23" s="140"/>
      <c r="D23" s="141"/>
      <c r="E23" s="62"/>
      <c r="F23" s="142" t="s">
        <v>233</v>
      </c>
      <c r="G23" s="143"/>
      <c r="H23" s="144"/>
      <c r="I23" s="62"/>
      <c r="J23" s="211" t="s">
        <v>233</v>
      </c>
      <c r="K23" s="212"/>
      <c r="L23" s="213"/>
      <c r="M23" s="62"/>
      <c r="N23" s="214" t="s">
        <v>233</v>
      </c>
      <c r="O23" s="215"/>
      <c r="P23" s="216"/>
      <c r="Q23" s="62"/>
      <c r="R23" s="62"/>
    </row>
    <row r="24" s="106" customFormat="1" ht="30" spans="2:18">
      <c r="B24" s="145">
        <f>SUM(C4:C23)</f>
        <v>2980</v>
      </c>
      <c r="C24" s="146"/>
      <c r="D24" s="147"/>
      <c r="E24" s="148"/>
      <c r="F24" s="149">
        <f>SUM(G4:G23)</f>
        <v>3000</v>
      </c>
      <c r="G24" s="150"/>
      <c r="H24" s="151"/>
      <c r="I24" s="148"/>
      <c r="J24" s="217">
        <f>SUM(K4:K23)</f>
        <v>2970</v>
      </c>
      <c r="K24" s="218"/>
      <c r="L24" s="219"/>
      <c r="M24" s="148"/>
      <c r="N24" s="220">
        <f>SUM(O4:O23)</f>
        <v>2370</v>
      </c>
      <c r="O24" s="221"/>
      <c r="P24" s="222"/>
      <c r="Q24" s="148"/>
      <c r="R24" s="148"/>
    </row>
    <row r="25" customHeight="1" spans="2:18">
      <c r="B25" s="152" t="str">
        <f>IFERROR(_xlfn._xlws.FILTER(转会市场!$A$12:$A$144,转会市场!$F$12:$F$144="【AWO】逃出'生天"),"")</f>
        <v/>
      </c>
      <c r="C25" s="62" t="str">
        <f>IFERROR(_xlfn._xlws.FILTER(转会市场!$C$12:$C$144,转会市场!$F$12:$F$144="【AWO】逃出'生天"),"")</f>
        <v/>
      </c>
      <c r="D25" s="62"/>
      <c r="E25" s="62"/>
      <c r="F25" s="152"/>
      <c r="G25" s="152"/>
      <c r="H25" s="62"/>
      <c r="I25" s="62"/>
      <c r="J25" s="152"/>
      <c r="K25" s="152"/>
      <c r="L25" s="62"/>
      <c r="M25" s="62"/>
      <c r="N25" s="152"/>
      <c r="O25" s="152"/>
      <c r="P25" s="62"/>
      <c r="Q25" s="62"/>
      <c r="R25" s="62"/>
    </row>
    <row r="26" customHeight="1" spans="2:18">
      <c r="B26" s="152" t="str">
        <f>IFERROR(_xlfn._xlws.FILTER(转会市场!$A$12:$A$144,转会市场!$F$12:$F$144="【AWO】逃出'生天"),"")</f>
        <v/>
      </c>
      <c r="C26" s="62" t="str">
        <f>IFERROR(_xlfn._xlws.FILTER(转会市场!$C$12:$C$144,转会市场!$F$12:$F$144="【AWO】逃出'生天"),"")</f>
        <v/>
      </c>
      <c r="D26" s="62"/>
      <c r="E26" s="62"/>
      <c r="F26" s="152"/>
      <c r="G26" s="152"/>
      <c r="H26" s="62"/>
      <c r="I26" s="62"/>
      <c r="J26" s="152"/>
      <c r="K26" s="152"/>
      <c r="L26" s="62"/>
      <c r="M26" s="62"/>
      <c r="N26" s="152"/>
      <c r="O26" s="152"/>
      <c r="P26" s="62"/>
      <c r="Q26" s="62"/>
      <c r="R26" s="62"/>
    </row>
    <row r="27" customHeight="1" spans="2:18">
      <c r="B27" s="152" t="str">
        <f>IFERROR(_xlfn._xlws.FILTER(转会市场!$A$12:$A$144,转会市场!$F$12:$F$144="【AWO】逃出'生天"),"")</f>
        <v/>
      </c>
      <c r="C27" s="62" t="str">
        <f>IFERROR(_xlfn._xlws.FILTER(转会市场!$C$12:$C$144,转会市场!$F$12:$F$144="【AWO】逃出'生天"),"")</f>
        <v/>
      </c>
      <c r="D27" s="62"/>
      <c r="E27" s="62"/>
      <c r="F27" s="152"/>
      <c r="G27" s="152"/>
      <c r="H27" s="62"/>
      <c r="I27" s="62"/>
      <c r="J27" s="152"/>
      <c r="K27" s="152"/>
      <c r="L27" s="62"/>
      <c r="M27" s="62"/>
      <c r="N27" s="152"/>
      <c r="O27" s="152"/>
      <c r="P27" s="62"/>
      <c r="Q27" s="62"/>
      <c r="R27" s="62"/>
    </row>
    <row r="28" customHeight="1" spans="2:18">
      <c r="B28" s="152" t="str">
        <f>IFERROR(_xlfn._xlws.FILTER(转会市场!$A$12:$A$144,转会市场!$F$12:$F$144="【AWO】逃出'生天"),"")</f>
        <v/>
      </c>
      <c r="C28" s="62" t="str">
        <f>IFERROR(_xlfn._xlws.FILTER(转会市场!$C$12:$C$144,转会市场!$F$12:$F$144="【AWO】逃出'生天"),"")</f>
        <v/>
      </c>
      <c r="D28" s="62"/>
      <c r="E28" s="62"/>
      <c r="F28" s="152"/>
      <c r="G28" s="152"/>
      <c r="H28" s="62"/>
      <c r="I28" s="62"/>
      <c r="J28" s="152"/>
      <c r="K28" s="152"/>
      <c r="L28" s="62"/>
      <c r="M28" s="62"/>
      <c r="N28" s="152"/>
      <c r="O28" s="152"/>
      <c r="P28" s="62"/>
      <c r="Q28" s="62"/>
      <c r="R28" s="62"/>
    </row>
    <row r="29" customHeight="1" spans="2:18">
      <c r="B29" s="62" t="str">
        <f>IFERROR(_xlfn._xlws.FILTER(转会市场!$A$12:$A$144,转会市场!$F$12:$F$144="【AWO】逃出'生天"),"")</f>
        <v/>
      </c>
      <c r="C29" s="62" t="str">
        <f>IFERROR(_xlfn._xlws.FILTER(转会市场!$C$12:$C$144,转会市场!$F$12:$F$144="【AWO】逃出'生天"),"")</f>
        <v/>
      </c>
      <c r="D29" s="62"/>
      <c r="E29" s="62"/>
      <c r="F29" s="152"/>
      <c r="G29" s="152"/>
      <c r="H29" s="62"/>
      <c r="I29" s="62"/>
      <c r="J29" s="152"/>
      <c r="K29" s="152"/>
      <c r="L29" s="62"/>
      <c r="M29" s="62"/>
      <c r="N29" s="152"/>
      <c r="O29" s="152"/>
      <c r="P29" s="62"/>
      <c r="Q29" s="62"/>
      <c r="R29" s="62"/>
    </row>
    <row r="30" customHeight="1" spans="2:18">
      <c r="B30" s="62" t="str">
        <f>IFERROR(_xlfn._xlws.FILTER(转会市场!$A$12:$A$144,转会市场!$F$12:$F$144="【AWO】逃出'生天"),"")</f>
        <v/>
      </c>
      <c r="C30" s="62" t="str">
        <f>IFERROR(_xlfn._xlws.FILTER(转会市场!$C$12:$C$144,转会市场!$F$12:$F$144="【AWO】逃出'生天"),"")</f>
        <v/>
      </c>
      <c r="D30" s="62"/>
      <c r="E30" s="62"/>
      <c r="F30" s="152"/>
      <c r="G30" s="152"/>
      <c r="H30" s="62"/>
      <c r="I30" s="62"/>
      <c r="J30" s="152"/>
      <c r="K30" s="152"/>
      <c r="L30" s="62"/>
      <c r="M30" s="62"/>
      <c r="N30" s="152"/>
      <c r="O30" s="152"/>
      <c r="P30" s="62"/>
      <c r="Q30" s="62"/>
      <c r="R30" s="62"/>
    </row>
    <row r="31" customHeight="1" spans="2:18">
      <c r="B31" s="62" t="str">
        <f>IFERROR(_xlfn._xlws.FILTER(转会市场!$A$12:$A$144,转会市场!$F$12:$F$144="【AWO】逃出'生天"),"")</f>
        <v/>
      </c>
      <c r="C31" s="62" t="str">
        <f>IFERROR(_xlfn._xlws.FILTER(转会市场!$C$12:$C$144,转会市场!$F$12:$F$144="【AWO】逃出'生天"),"")</f>
        <v/>
      </c>
      <c r="D31" s="62"/>
      <c r="E31" s="62"/>
      <c r="F31" s="152"/>
      <c r="G31" s="152"/>
      <c r="H31" s="62"/>
      <c r="I31" s="62"/>
      <c r="J31" s="152"/>
      <c r="K31" s="152"/>
      <c r="L31" s="62"/>
      <c r="M31" s="62"/>
      <c r="N31" s="152"/>
      <c r="O31" s="152"/>
      <c r="P31" s="62"/>
      <c r="Q31" s="62"/>
      <c r="R31" s="62"/>
    </row>
    <row r="32" customHeight="1" spans="2:18">
      <c r="B32" s="62" t="str">
        <f>IFERROR(_xlfn._xlws.FILTER(转会市场!$A$12:$A$144,转会市场!$F$12:$F$144="【AWO】逃出'生天"),"")</f>
        <v/>
      </c>
      <c r="C32" s="62" t="str">
        <f>IFERROR(_xlfn._xlws.FILTER(转会市场!$C$12:$C$144,转会市场!$F$12:$F$144="【AWO】逃出'生天"),"")</f>
        <v/>
      </c>
      <c r="D32" s="62"/>
      <c r="E32" s="62"/>
      <c r="F32" s="152"/>
      <c r="G32" s="152"/>
      <c r="H32" s="62"/>
      <c r="I32" s="62"/>
      <c r="J32" s="152"/>
      <c r="K32" s="152"/>
      <c r="L32" s="62"/>
      <c r="M32" s="62"/>
      <c r="N32" s="152"/>
      <c r="O32" s="152"/>
      <c r="P32" s="62"/>
      <c r="Q32" s="62"/>
      <c r="R32" s="62"/>
    </row>
    <row r="33" customHeight="1" spans="2:18">
      <c r="B33" s="62" t="str">
        <f>IFERROR(_xlfn._xlws.FILTER(转会市场!$A$12:$A$144,转会市场!$F$12:$F$144="【AWO】逃出'生天"),"")</f>
        <v/>
      </c>
      <c r="C33" s="62" t="str">
        <f>IFERROR(_xlfn._xlws.FILTER(转会市场!$C$12:$C$144,转会市场!$F$12:$F$144="【AWO】逃出'生天"),"")</f>
        <v/>
      </c>
      <c r="D33" s="62"/>
      <c r="E33" s="62"/>
      <c r="F33" s="152"/>
      <c r="G33" s="152"/>
      <c r="H33" s="62"/>
      <c r="I33" s="62"/>
      <c r="J33" s="152"/>
      <c r="K33" s="152"/>
      <c r="L33" s="62"/>
      <c r="M33" s="62"/>
      <c r="N33" s="152"/>
      <c r="O33" s="152"/>
      <c r="P33" s="62"/>
      <c r="Q33" s="62"/>
      <c r="R33" s="62"/>
    </row>
    <row r="34" s="105" customFormat="1" ht="25" customHeight="1" spans="2:18">
      <c r="B34" s="153" t="s">
        <v>234</v>
      </c>
      <c r="C34" s="108"/>
      <c r="D34" s="109"/>
      <c r="E34" s="154"/>
      <c r="F34" s="155" t="s">
        <v>235</v>
      </c>
      <c r="G34" s="108"/>
      <c r="H34" s="109"/>
      <c r="I34" s="154"/>
      <c r="J34" s="223" t="s">
        <v>236</v>
      </c>
      <c r="K34" s="108"/>
      <c r="L34" s="109"/>
      <c r="M34" s="154"/>
      <c r="N34" s="224" t="s">
        <v>237</v>
      </c>
      <c r="O34" s="108"/>
      <c r="P34" s="225"/>
      <c r="Q34" s="110"/>
      <c r="R34" s="110"/>
    </row>
    <row r="35" s="27" customFormat="1" customHeight="1" spans="2:18">
      <c r="B35" s="156" t="s">
        <v>22</v>
      </c>
      <c r="C35" s="157" t="s">
        <v>230</v>
      </c>
      <c r="D35" s="158" t="s">
        <v>231</v>
      </c>
      <c r="E35" s="117"/>
      <c r="F35" s="156" t="s">
        <v>22</v>
      </c>
      <c r="G35" s="157" t="s">
        <v>230</v>
      </c>
      <c r="H35" s="158" t="s">
        <v>231</v>
      </c>
      <c r="I35" s="162"/>
      <c r="J35" s="156" t="s">
        <v>22</v>
      </c>
      <c r="K35" s="157" t="s">
        <v>230</v>
      </c>
      <c r="L35" s="158" t="s">
        <v>231</v>
      </c>
      <c r="M35" s="162"/>
      <c r="N35" s="226" t="s">
        <v>22</v>
      </c>
      <c r="O35" s="227" t="s">
        <v>230</v>
      </c>
      <c r="P35" s="228" t="s">
        <v>231</v>
      </c>
      <c r="Q35" s="117"/>
      <c r="R35" s="117"/>
    </row>
    <row r="36" s="27" customFormat="1" customHeight="1" spans="2:18">
      <c r="B36" s="309" t="s">
        <v>238</v>
      </c>
      <c r="C36" s="119">
        <v>800</v>
      </c>
      <c r="D36" s="120"/>
      <c r="E36" s="117"/>
      <c r="F36" s="309" t="s">
        <v>239</v>
      </c>
      <c r="G36" s="119">
        <v>800</v>
      </c>
      <c r="H36" s="120"/>
      <c r="I36" s="162"/>
      <c r="J36" s="309" t="s">
        <v>19</v>
      </c>
      <c r="K36" s="119">
        <v>250</v>
      </c>
      <c r="L36" s="120"/>
      <c r="M36" s="162"/>
      <c r="N36" s="310" t="s">
        <v>240</v>
      </c>
      <c r="O36" s="229">
        <v>300</v>
      </c>
      <c r="P36" s="120"/>
      <c r="Q36" s="117"/>
      <c r="R36" s="117"/>
    </row>
    <row r="37" s="27" customFormat="1" customHeight="1" spans="2:18">
      <c r="B37" s="159" t="str" cm="1">
        <f t="array" ref="B37:B47">IFERROR(_xlfn._xlws.FILTER(交易历史!$A$12:$A$210,(交易历史!$F$12:$F$210="【G2】G2")*(交易历史!$H$12:$H$210=1)),"")</f>
        <v>xiaoliyu</v>
      </c>
      <c r="C37" s="160" cm="1">
        <f t="array" ref="C37:C47">IFERROR(_xlfn._xlws.FILTER(交易历史!$G$12:$G$210,(交易历史!$C$12:$C$210="【G2】G2")*(交易历史!$H$12:$H$210=1)),"")</f>
        <v>0</v>
      </c>
      <c r="D37" s="161"/>
      <c r="E37" s="162"/>
      <c r="F37" s="163" t="str" cm="1">
        <f t="array" ref="F37:F47">IFERROR(_xlfn._xlws.FILTER(交易历史!$A$12:$A$210,(交易历史!$F$12:$F$210="【TV】Team Vitality")*(交易历史!$H$12:$H$210=1)),"")</f>
        <v>f4</v>
      </c>
      <c r="G37" s="164" cm="1">
        <f t="array" ref="G37:G47">IFERROR(_xlfn._xlws.FILTER(交易历史!$G$12:$G$210,(交易历史!$C$12:$C$210="【TV】Team Vitality")*(交易历史!$H$12:$H$210=1)),"")</f>
        <v>600</v>
      </c>
      <c r="H37" s="165"/>
      <c r="I37" s="162"/>
      <c r="J37" s="230" t="str" cm="1">
        <f t="array" ref="J37:J46">IFERROR(_xlfn._xlws.FILTER(交易历史!$A$12:$A$210,(交易历史!$F$12:$F$210="【Miniworld】迷你世界")*(交易历史!$H$12:$H$210=1)),"")</f>
        <v>哭丧</v>
      </c>
      <c r="K37" s="231" cm="1">
        <f t="array" ref="K37:K46">IFERROR(_xlfn._xlws.FILTER(交易历史!$G$12:$G$210,(交易历史!$C$12:$C$210="【Miniworld】迷你世界")*(交易历史!$H$12:$H$210=1)),"")</f>
        <v>80</v>
      </c>
      <c r="L37" s="232"/>
      <c r="M37" s="162"/>
      <c r="N37" s="233" t="str" cm="1">
        <f t="array" ref="N37:N46">IFERROR(_xlfn._xlws.FILTER(交易历史!$A$12:$A$210,(交易历史!$F$12:$F$210="【NikoFC】NikoCN Fanclub")*(交易历史!$H$12:$H$210=1)),"")</f>
        <v>awe23</v>
      </c>
      <c r="O37" s="234" cm="1">
        <f t="array" ref="O37:O46">IFERROR(_xlfn._xlws.FILTER(交易历史!$G$12:$G$210,(交易历史!$C$12:$C$210="【NikoFC】NikoCN Fanclub")*(交易历史!$H$12:$H$210=1)),"")</f>
        <v>320</v>
      </c>
      <c r="P37" s="235"/>
      <c r="Q37" s="117"/>
      <c r="R37" s="117"/>
    </row>
    <row r="38" s="27" customFormat="1" customHeight="1" spans="2:18">
      <c r="B38" s="159" t="str">
        <v>233laoye</v>
      </c>
      <c r="C38" s="160">
        <v>1000</v>
      </c>
      <c r="D38" s="161"/>
      <c r="E38" s="162"/>
      <c r="F38" s="163" t="str">
        <v>abin</v>
      </c>
      <c r="G38" s="164">
        <v>10</v>
      </c>
      <c r="H38" s="165"/>
      <c r="I38" s="162"/>
      <c r="J38" s="230" t="str">
        <v>Tatum</v>
      </c>
      <c r="K38" s="231">
        <v>350</v>
      </c>
      <c r="L38" s="232"/>
      <c r="M38" s="162"/>
      <c r="N38" s="233" t="str">
        <v>Bonaoart</v>
      </c>
      <c r="O38" s="234">
        <v>100</v>
      </c>
      <c r="P38" s="235"/>
      <c r="Q38" s="117"/>
      <c r="R38" s="117"/>
    </row>
    <row r="39" s="27" customFormat="1" customHeight="1" spans="2:18">
      <c r="B39" s="159" t="str">
        <v>500</v>
      </c>
      <c r="C39" s="160">
        <v>0</v>
      </c>
      <c r="D39" s="161"/>
      <c r="E39" s="162"/>
      <c r="F39" s="163" t="str">
        <v>AP-20</v>
      </c>
      <c r="G39" s="164">
        <v>20</v>
      </c>
      <c r="H39" s="165"/>
      <c r="I39" s="162"/>
      <c r="J39" s="230" t="str">
        <v>KillerQuin</v>
      </c>
      <c r="K39" s="231">
        <v>20</v>
      </c>
      <c r="L39" s="232"/>
      <c r="M39" s="162"/>
      <c r="N39" s="233" t="str">
        <v>果猫</v>
      </c>
      <c r="O39" s="234">
        <v>540</v>
      </c>
      <c r="P39" s="235"/>
      <c r="Q39" s="117"/>
      <c r="R39" s="117"/>
    </row>
    <row r="40" s="27" customFormat="1" customHeight="1" spans="2:18">
      <c r="B40" s="166" t="str">
        <v>Yoshino</v>
      </c>
      <c r="C40" s="167">
        <v>350</v>
      </c>
      <c r="D40" s="168"/>
      <c r="E40" s="162"/>
      <c r="F40" s="169" t="str">
        <v>孟起</v>
      </c>
      <c r="G40" s="170">
        <v>20</v>
      </c>
      <c r="H40" s="171"/>
      <c r="I40" s="162"/>
      <c r="J40" s="236" t="str">
        <v>老鱼</v>
      </c>
      <c r="K40" s="237">
        <v>40</v>
      </c>
      <c r="L40" s="238"/>
      <c r="M40" s="162"/>
      <c r="N40" s="239" t="str">
        <v>Mliya</v>
      </c>
      <c r="O40" s="240">
        <v>50</v>
      </c>
      <c r="P40" s="241"/>
      <c r="Q40" s="117"/>
      <c r="R40" s="117"/>
    </row>
    <row r="41" s="27" customFormat="1" customHeight="1" spans="2:18">
      <c r="B41" s="159" t="str">
        <v>末影</v>
      </c>
      <c r="C41" s="160">
        <v>190</v>
      </c>
      <c r="D41" s="161"/>
      <c r="E41" s="162"/>
      <c r="F41" s="163" t="str">
        <v>Charlotte</v>
      </c>
      <c r="G41" s="164">
        <v>60</v>
      </c>
      <c r="H41" s="165"/>
      <c r="I41" s="162"/>
      <c r="J41" s="230" t="str">
        <v>AQI</v>
      </c>
      <c r="K41" s="231">
        <v>20</v>
      </c>
      <c r="L41" s="232"/>
      <c r="M41" s="162"/>
      <c r="N41" s="233" t="str">
        <v>YQS_dou_dou</v>
      </c>
      <c r="O41" s="234">
        <v>30</v>
      </c>
      <c r="P41" s="235"/>
      <c r="Q41" s="117"/>
      <c r="R41" s="117"/>
    </row>
    <row r="42" s="27" customFormat="1" customHeight="1" spans="2:18">
      <c r="B42" s="159" t="str">
        <v>大聪明、呆呆</v>
      </c>
      <c r="C42" s="160">
        <v>400</v>
      </c>
      <c r="D42" s="161"/>
      <c r="E42" s="162"/>
      <c r="F42" s="163" t="str">
        <v>Lezalit</v>
      </c>
      <c r="G42" s="164">
        <v>1000</v>
      </c>
      <c r="H42" s="165"/>
      <c r="I42" s="162"/>
      <c r="J42" s="230" t="str">
        <v>Add</v>
      </c>
      <c r="K42" s="231">
        <v>60</v>
      </c>
      <c r="L42" s="232"/>
      <c r="M42" s="162"/>
      <c r="N42" s="233" t="str">
        <v>淫荡</v>
      </c>
      <c r="O42" s="234">
        <v>510</v>
      </c>
      <c r="P42" s="235"/>
      <c r="Q42" s="117"/>
      <c r="R42" s="117"/>
    </row>
    <row r="43" s="27" customFormat="1" customHeight="1" spans="2:18">
      <c r="B43" s="159" t="str">
        <v>Maverick</v>
      </c>
      <c r="C43" s="160">
        <v>140</v>
      </c>
      <c r="D43" s="161"/>
      <c r="E43" s="162"/>
      <c r="F43" s="163" t="str">
        <v>天帝哥哥</v>
      </c>
      <c r="G43" s="164">
        <v>10</v>
      </c>
      <c r="H43" s="165"/>
      <c r="I43" s="162"/>
      <c r="J43" s="230" t="str">
        <v>Goganpa</v>
      </c>
      <c r="K43" s="231">
        <v>30</v>
      </c>
      <c r="L43" s="232"/>
      <c r="M43" s="162"/>
      <c r="N43" s="233" t="str">
        <v>comet</v>
      </c>
      <c r="O43" s="234">
        <v>760</v>
      </c>
      <c r="P43" s="235"/>
      <c r="Q43" s="117"/>
      <c r="R43" s="117"/>
    </row>
    <row r="44" s="27" customFormat="1" customHeight="1" spans="2:18">
      <c r="B44" s="159" t="str">
        <v>回火的头盖骨</v>
      </c>
      <c r="C44" s="160">
        <v>0</v>
      </c>
      <c r="D44" s="161"/>
      <c r="E44" s="162"/>
      <c r="F44" s="163" t="str">
        <v>冷夜</v>
      </c>
      <c r="G44" s="164">
        <v>20</v>
      </c>
      <c r="H44" s="165"/>
      <c r="I44" s="162"/>
      <c r="J44" s="230" t="str">
        <v>diyuluguan</v>
      </c>
      <c r="K44" s="231">
        <v>300</v>
      </c>
      <c r="L44" s="232"/>
      <c r="M44" s="162"/>
      <c r="N44" s="233" t="str">
        <v>Gad_ALiang</v>
      </c>
      <c r="O44" s="234">
        <v>10</v>
      </c>
      <c r="P44" s="235"/>
      <c r="Q44" s="117"/>
      <c r="R44" s="117"/>
    </row>
    <row r="45" s="27" customFormat="1" customHeight="1" spans="2:18">
      <c r="B45" s="159" t="str">
        <v>chengcheng</v>
      </c>
      <c r="C45" s="160">
        <v>10</v>
      </c>
      <c r="D45" s="161"/>
      <c r="E45" s="162"/>
      <c r="F45" s="163" t="str">
        <v>sy72sdf</v>
      </c>
      <c r="G45" s="164">
        <v>120</v>
      </c>
      <c r="H45" s="165"/>
      <c r="I45" s="162"/>
      <c r="J45" s="230" t="str">
        <v>卡皇</v>
      </c>
      <c r="K45" s="231">
        <v>850</v>
      </c>
      <c r="L45" s="232"/>
      <c r="M45" s="162"/>
      <c r="N45" s="233" t="str">
        <v>KT_riva</v>
      </c>
      <c r="O45" s="234">
        <v>10</v>
      </c>
      <c r="P45" s="235"/>
      <c r="Q45" s="117"/>
      <c r="R45" s="117"/>
    </row>
    <row r="46" s="27" customFormat="1" customHeight="1" spans="2:18">
      <c r="B46" s="159" t="str">
        <v>Smile</v>
      </c>
      <c r="C46" s="160">
        <v>0</v>
      </c>
      <c r="D46" s="161"/>
      <c r="E46" s="162"/>
      <c r="F46" s="163" t="str">
        <v>凯德</v>
      </c>
      <c r="G46" s="164">
        <v>120</v>
      </c>
      <c r="H46" s="165"/>
      <c r="I46" s="162"/>
      <c r="J46" s="230" t="str">
        <v>苏雨晴</v>
      </c>
      <c r="K46" s="231">
        <v>350</v>
      </c>
      <c r="L46" s="232"/>
      <c r="M46" s="162"/>
      <c r="N46" s="233" t="str">
        <v>lirene</v>
      </c>
      <c r="O46" s="234">
        <v>10</v>
      </c>
      <c r="P46" s="235"/>
      <c r="Q46" s="117"/>
      <c r="R46" s="117"/>
    </row>
    <row r="47" s="27" customFormat="1" customHeight="1" spans="2:18">
      <c r="B47" s="159" t="str">
        <v>武田</v>
      </c>
      <c r="C47" s="160">
        <v>20</v>
      </c>
      <c r="D47" s="161"/>
      <c r="E47" s="162"/>
      <c r="F47" s="163" t="str">
        <v>mama</v>
      </c>
      <c r="G47" s="164">
        <v>130</v>
      </c>
      <c r="H47" s="165"/>
      <c r="I47" s="162"/>
      <c r="J47" s="230"/>
      <c r="K47" s="231"/>
      <c r="L47" s="232"/>
      <c r="M47" s="162"/>
      <c r="N47" s="233"/>
      <c r="O47" s="234"/>
      <c r="P47" s="235"/>
      <c r="Q47" s="117"/>
      <c r="R47" s="117"/>
    </row>
    <row r="48" s="27" customFormat="1" customHeight="1" spans="2:18">
      <c r="B48" s="159"/>
      <c r="C48" s="160"/>
      <c r="D48" s="161"/>
      <c r="E48" s="162"/>
      <c r="F48" s="163"/>
      <c r="G48" s="164"/>
      <c r="H48" s="165"/>
      <c r="I48" s="162"/>
      <c r="J48" s="230"/>
      <c r="K48" s="231"/>
      <c r="L48" s="232"/>
      <c r="M48" s="162"/>
      <c r="N48" s="233"/>
      <c r="O48" s="234"/>
      <c r="P48" s="235"/>
      <c r="Q48" s="117"/>
      <c r="R48" s="117"/>
    </row>
    <row r="49" customHeight="1" spans="2:18">
      <c r="B49" s="159"/>
      <c r="C49" s="160"/>
      <c r="D49" s="161"/>
      <c r="E49" s="62"/>
      <c r="F49" s="163"/>
      <c r="G49" s="164"/>
      <c r="H49" s="165"/>
      <c r="I49" s="62"/>
      <c r="J49" s="230"/>
      <c r="K49" s="231"/>
      <c r="L49" s="232"/>
      <c r="M49" s="62"/>
      <c r="N49" s="233"/>
      <c r="O49" s="234"/>
      <c r="P49" s="235"/>
      <c r="Q49" s="62"/>
      <c r="R49" s="62"/>
    </row>
    <row r="50" customHeight="1" spans="2:18">
      <c r="B50" s="159"/>
      <c r="C50" s="160"/>
      <c r="D50" s="161"/>
      <c r="E50" s="62"/>
      <c r="F50" s="163"/>
      <c r="G50" s="164"/>
      <c r="H50" s="165"/>
      <c r="I50" s="62"/>
      <c r="J50" s="230"/>
      <c r="K50" s="231"/>
      <c r="L50" s="232"/>
      <c r="M50" s="62"/>
      <c r="N50" s="233"/>
      <c r="O50" s="234"/>
      <c r="P50" s="235"/>
      <c r="Q50" s="62"/>
      <c r="R50" s="62"/>
    </row>
    <row r="51" customHeight="1" spans="2:18">
      <c r="B51" s="159"/>
      <c r="C51" s="160"/>
      <c r="D51" s="161"/>
      <c r="E51" s="62"/>
      <c r="F51" s="163"/>
      <c r="G51" s="164"/>
      <c r="H51" s="165"/>
      <c r="I51" s="62"/>
      <c r="J51" s="230"/>
      <c r="K51" s="231"/>
      <c r="L51" s="232"/>
      <c r="M51" s="62"/>
      <c r="N51" s="233"/>
      <c r="O51" s="234"/>
      <c r="P51" s="235"/>
      <c r="Q51" s="62"/>
      <c r="R51" s="62"/>
    </row>
    <row r="52" customHeight="1" spans="2:18">
      <c r="B52" s="159"/>
      <c r="C52" s="160"/>
      <c r="D52" s="161"/>
      <c r="E52" s="62"/>
      <c r="F52" s="163"/>
      <c r="G52" s="164"/>
      <c r="H52" s="165"/>
      <c r="I52" s="62"/>
      <c r="J52" s="230"/>
      <c r="K52" s="231"/>
      <c r="L52" s="232"/>
      <c r="M52" s="62"/>
      <c r="N52" s="233"/>
      <c r="O52" s="234"/>
      <c r="P52" s="235"/>
      <c r="Q52" s="62"/>
      <c r="R52" s="62"/>
    </row>
    <row r="53" customHeight="1" spans="2:18">
      <c r="B53" s="159"/>
      <c r="C53" s="160"/>
      <c r="D53" s="161"/>
      <c r="E53" s="62"/>
      <c r="F53" s="163"/>
      <c r="G53" s="164"/>
      <c r="H53" s="165"/>
      <c r="I53" s="62"/>
      <c r="J53" s="230"/>
      <c r="K53" s="231"/>
      <c r="L53" s="232"/>
      <c r="M53" s="62"/>
      <c r="N53" s="233"/>
      <c r="O53" s="234"/>
      <c r="P53" s="235"/>
      <c r="Q53" s="62"/>
      <c r="R53" s="62"/>
    </row>
    <row r="54" customHeight="1" spans="2:18">
      <c r="B54" s="172"/>
      <c r="C54" s="173"/>
      <c r="D54" s="174"/>
      <c r="E54" s="62"/>
      <c r="F54" s="175"/>
      <c r="G54" s="176"/>
      <c r="H54" s="177"/>
      <c r="I54" s="62"/>
      <c r="J54" s="242"/>
      <c r="K54" s="243"/>
      <c r="L54" s="244"/>
      <c r="M54" s="62"/>
      <c r="N54" s="245"/>
      <c r="O54" s="246"/>
      <c r="P54" s="247"/>
      <c r="Q54" s="62"/>
      <c r="R54" s="62"/>
    </row>
    <row r="55" customHeight="1" spans="2:18">
      <c r="B55" s="178" t="s">
        <v>233</v>
      </c>
      <c r="C55" s="179"/>
      <c r="D55" s="180"/>
      <c r="E55" s="62"/>
      <c r="F55" s="181" t="s">
        <v>233</v>
      </c>
      <c r="G55" s="182"/>
      <c r="H55" s="183"/>
      <c r="I55" s="62"/>
      <c r="J55" s="248" t="s">
        <v>233</v>
      </c>
      <c r="K55" s="249"/>
      <c r="L55" s="250"/>
      <c r="M55" s="62"/>
      <c r="N55" s="251" t="s">
        <v>233</v>
      </c>
      <c r="O55" s="252"/>
      <c r="P55" s="253"/>
      <c r="Q55" s="62"/>
      <c r="R55" s="62"/>
    </row>
    <row r="56" s="106" customFormat="1" ht="30" spans="2:18">
      <c r="B56" s="184">
        <f>SUM(C36:C55)</f>
        <v>2910</v>
      </c>
      <c r="C56" s="185"/>
      <c r="D56" s="186"/>
      <c r="E56" s="148"/>
      <c r="F56" s="187">
        <f>SUM(G36:G55)</f>
        <v>2910</v>
      </c>
      <c r="G56" s="188"/>
      <c r="H56" s="189"/>
      <c r="I56" s="148"/>
      <c r="J56" s="254">
        <f>SUM(K36:K55)</f>
        <v>2350</v>
      </c>
      <c r="K56" s="255"/>
      <c r="L56" s="256"/>
      <c r="M56" s="148"/>
      <c r="N56" s="257">
        <f>SUM(O36:O55)</f>
        <v>2640</v>
      </c>
      <c r="O56" s="258"/>
      <c r="P56" s="259"/>
      <c r="Q56" s="148"/>
      <c r="R56" s="148"/>
    </row>
    <row r="57" customHeight="1" spans="2:18">
      <c r="B57" s="62"/>
      <c r="C57" s="62"/>
      <c r="D57" s="62"/>
      <c r="E57" s="62"/>
      <c r="F57" s="62"/>
      <c r="G57" s="62"/>
      <c r="H57" s="62"/>
      <c r="I57" s="62"/>
      <c r="J57" s="152"/>
      <c r="K57" s="62"/>
      <c r="L57" s="62"/>
      <c r="M57" s="62"/>
      <c r="N57" s="62"/>
      <c r="O57" s="62"/>
      <c r="P57" s="62"/>
      <c r="Q57" s="62"/>
      <c r="R57" s="62"/>
    </row>
    <row r="58" customHeight="1" spans="2:18">
      <c r="B58" s="62"/>
      <c r="C58" s="62"/>
      <c r="D58" s="62"/>
      <c r="E58" s="62"/>
      <c r="F58" s="62"/>
      <c r="G58" s="62"/>
      <c r="H58" s="62"/>
      <c r="I58" s="62"/>
      <c r="J58" s="152"/>
      <c r="K58" s="62"/>
      <c r="L58" s="62"/>
      <c r="M58" s="62"/>
      <c r="N58" s="62"/>
      <c r="O58" s="62"/>
      <c r="P58" s="62"/>
      <c r="Q58" s="62"/>
      <c r="R58" s="62"/>
    </row>
    <row r="59" customHeight="1" spans="2:18">
      <c r="B59" s="62" t="str">
        <f>IFERROR(_xlfn._xlws.FILTER(转会市场!$A$12:$A$144,转会市场!$F$12:$F$144="【NikoFC】NikoCN Fanclub"),"")</f>
        <v/>
      </c>
      <c r="C59" s="62"/>
      <c r="D59" s="62"/>
      <c r="E59" s="62"/>
      <c r="F59" s="62"/>
      <c r="G59" s="62"/>
      <c r="H59" s="62"/>
      <c r="I59" s="62"/>
      <c r="J59" s="152"/>
      <c r="K59" s="62"/>
      <c r="L59" s="62"/>
      <c r="M59" s="62"/>
      <c r="N59" s="62"/>
      <c r="O59" s="62"/>
      <c r="P59" s="62"/>
      <c r="Q59" s="62"/>
      <c r="R59" s="62"/>
    </row>
    <row r="60" customHeight="1" spans="2:18">
      <c r="B60" s="62" t="str">
        <f>IFERROR(_xlfn._xlws.FILTER(转会市场!$A$12:$A$144,转会市场!$F$12:$F$144="【NikoFC】NikoCN Fanclub"),"")</f>
        <v/>
      </c>
      <c r="C60" s="62"/>
      <c r="D60" s="62"/>
      <c r="E60" s="62"/>
      <c r="F60" s="62"/>
      <c r="G60" s="62"/>
      <c r="H60" s="62"/>
      <c r="I60" s="62"/>
      <c r="J60" s="152"/>
      <c r="K60" s="62"/>
      <c r="L60" s="62"/>
      <c r="M60" s="62"/>
      <c r="N60" s="62"/>
      <c r="O60" s="62"/>
      <c r="P60" s="62"/>
      <c r="Q60" s="62"/>
      <c r="R60" s="62"/>
    </row>
    <row r="61" customHeight="1" spans="2:18">
      <c r="B61" s="62" t="str">
        <f>IFERROR(_xlfn._xlws.FILTER(转会市场!$A$12:$A$144,转会市场!$F$12:$F$144="【NikoFC】NikoCN Fanclub"),"")</f>
        <v/>
      </c>
      <c r="C61" s="62"/>
      <c r="D61" s="62"/>
      <c r="E61" s="62"/>
      <c r="F61" s="62"/>
      <c r="G61" s="62"/>
      <c r="H61" s="62"/>
      <c r="I61" s="62"/>
      <c r="J61" s="152"/>
      <c r="K61" s="62"/>
      <c r="L61" s="62"/>
      <c r="M61" s="62"/>
      <c r="N61" s="62"/>
      <c r="O61" s="62"/>
      <c r="P61" s="62"/>
      <c r="Q61" s="62"/>
      <c r="R61" s="62"/>
    </row>
    <row r="62" customHeight="1" spans="2:18">
      <c r="B62" s="62" t="s">
        <v>241</v>
      </c>
      <c r="C62" s="62"/>
      <c r="D62" s="62"/>
      <c r="E62" s="62"/>
      <c r="F62" s="62"/>
      <c r="G62" s="62"/>
      <c r="H62" s="62"/>
      <c r="I62" s="62"/>
      <c r="J62" s="152"/>
      <c r="K62" s="62"/>
      <c r="L62" s="62"/>
      <c r="M62" s="62"/>
      <c r="N62" s="62"/>
      <c r="O62" s="62"/>
      <c r="P62" s="62"/>
      <c r="Q62" s="62"/>
      <c r="R62" s="62"/>
    </row>
    <row r="63" customHeight="1" spans="2:18">
      <c r="B63" s="62" t="s">
        <v>241</v>
      </c>
      <c r="C63" s="62"/>
      <c r="D63" s="62"/>
      <c r="E63" s="62"/>
      <c r="F63" s="62"/>
      <c r="G63" s="62"/>
      <c r="H63" s="62"/>
      <c r="I63" s="62"/>
      <c r="J63" s="152"/>
      <c r="K63" s="62"/>
      <c r="L63" s="62"/>
      <c r="M63" s="62"/>
      <c r="N63" s="62"/>
      <c r="O63" s="62"/>
      <c r="P63" s="62"/>
      <c r="Q63" s="62"/>
      <c r="R63" s="62"/>
    </row>
    <row r="64" customHeight="1" spans="2:18">
      <c r="B64" s="62" t="s">
        <v>241</v>
      </c>
      <c r="C64" s="62"/>
      <c r="D64" s="62"/>
      <c r="E64" s="62"/>
      <c r="F64" s="62"/>
      <c r="G64" s="62"/>
      <c r="H64" s="62"/>
      <c r="I64" s="62"/>
      <c r="J64" s="152"/>
      <c r="K64" s="62"/>
      <c r="L64" s="62"/>
      <c r="M64" s="62"/>
      <c r="N64" s="62"/>
      <c r="O64" s="62"/>
      <c r="P64" s="62"/>
      <c r="Q64" s="62"/>
      <c r="R64" s="62"/>
    </row>
    <row r="65" customHeight="1" spans="2:18">
      <c r="B65" s="63" t="s">
        <v>241</v>
      </c>
      <c r="D65" s="62"/>
      <c r="E65" s="62"/>
      <c r="H65" s="62"/>
      <c r="I65" s="62"/>
      <c r="J65" s="260"/>
      <c r="L65" s="62"/>
      <c r="M65" s="62"/>
      <c r="P65" s="62"/>
      <c r="Q65" s="62"/>
      <c r="R65" s="62"/>
    </row>
    <row r="66" customHeight="1" spans="2:18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</row>
    <row r="67" customHeight="1" spans="2:18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</row>
    <row r="68" customHeight="1" spans="2:18"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</row>
    <row r="69" customHeight="1" spans="2:18"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</row>
    <row r="70" customHeight="1" spans="2:18"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</row>
    <row r="71" customHeight="1" spans="2:18"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customHeight="1" spans="2:18"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</row>
    <row r="73" customHeight="1" spans="2:18"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</row>
    <row r="74" customHeight="1" spans="2:18"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</row>
    <row r="75" customHeight="1" spans="2:18"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customHeight="1" spans="2:18"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</row>
    <row r="77" customHeight="1" spans="2:18"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</row>
    <row r="78" customHeight="1" spans="2:18"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</row>
    <row r="79" customHeight="1" spans="2:18"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</row>
    <row r="80" customHeight="1" spans="2:18"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customHeight="1" spans="2:18"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customHeight="1" spans="2:18"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</sheetData>
  <sheetProtection formatCells="0" formatColumns="0" formatRows="0" insertRows="0" insertColumns="0" insertHyperlinks="0" deleteColumns="0" deleteRows="0" sort="0" autoFilter="0" pivotTables="0"/>
  <mergeCells count="24">
    <mergeCell ref="B2:D2"/>
    <mergeCell ref="F2:H2"/>
    <mergeCell ref="J2:L2"/>
    <mergeCell ref="N2:P2"/>
    <mergeCell ref="B23:D23"/>
    <mergeCell ref="F23:H23"/>
    <mergeCell ref="J23:L23"/>
    <mergeCell ref="N23:P23"/>
    <mergeCell ref="B24:D24"/>
    <mergeCell ref="F24:H24"/>
    <mergeCell ref="J24:L24"/>
    <mergeCell ref="N24:P24"/>
    <mergeCell ref="B34:D34"/>
    <mergeCell ref="F34:H34"/>
    <mergeCell ref="J34:L34"/>
    <mergeCell ref="N34:P34"/>
    <mergeCell ref="B55:D55"/>
    <mergeCell ref="F55:H55"/>
    <mergeCell ref="J55:L55"/>
    <mergeCell ref="N55:P55"/>
    <mergeCell ref="B56:D56"/>
    <mergeCell ref="F56:H56"/>
    <mergeCell ref="J56:L56"/>
    <mergeCell ref="N56:P5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opLeftCell="B1" workbookViewId="0">
      <selection activeCell="E17" sqref="E17"/>
    </sheetView>
  </sheetViews>
  <sheetFormatPr defaultColWidth="11.3333333333333" defaultRowHeight="16.5"/>
  <cols>
    <col min="1" max="1" width="31.4444444444444" style="4" customWidth="1"/>
    <col min="2" max="2" width="15.2222222222222" style="4" customWidth="1"/>
    <col min="3" max="3" width="11.3333333333333" style="4" customWidth="1"/>
    <col min="4" max="4" width="32" style="7" customWidth="1"/>
    <col min="5" max="5" width="25.3333333333333" style="4" customWidth="1"/>
    <col min="6" max="6" width="17.1111111111111" style="4" customWidth="1"/>
    <col min="7" max="7" width="15.7777777777778" style="4" customWidth="1"/>
    <col min="8" max="8" width="12.8888888888889" style="4" customWidth="1"/>
    <col min="9" max="9" width="11.3333333333333" style="4" customWidth="1"/>
    <col min="10" max="10" width="12.8888888888889" style="4" customWidth="1"/>
    <col min="11" max="16383" width="11.3333333333333" style="4" customWidth="1"/>
    <col min="16384" max="16384" width="11.3333333333333" style="4"/>
  </cols>
  <sheetData>
    <row r="1" ht="22.5" customHeight="1" spans="1:10">
      <c r="A1" s="79" t="s">
        <v>1</v>
      </c>
      <c r="B1" s="80" t="s">
        <v>242</v>
      </c>
      <c r="C1" s="80" t="s">
        <v>243</v>
      </c>
      <c r="D1" s="81" t="s">
        <v>244</v>
      </c>
      <c r="E1" s="80" t="s">
        <v>245</v>
      </c>
      <c r="F1" s="80" t="s">
        <v>246</v>
      </c>
      <c r="G1" s="80" t="s">
        <v>247</v>
      </c>
      <c r="H1" s="80" t="s">
        <v>248</v>
      </c>
      <c r="I1" s="101" t="s">
        <v>249</v>
      </c>
      <c r="J1" s="102" t="s">
        <v>250</v>
      </c>
    </row>
    <row r="2" ht="35.1" customHeight="1" spans="1:10">
      <c r="A2" s="82" t="s">
        <v>6</v>
      </c>
      <c r="B2" s="83" t="s">
        <v>7</v>
      </c>
      <c r="C2" s="83">
        <v>750</v>
      </c>
      <c r="D2" s="84">
        <f t="shared" ref="D2:D9" si="0">3000-C2+F2+G2+H2-I2-J2</f>
        <v>2250</v>
      </c>
      <c r="E2" s="85">
        <f>D2-SUMIFS(交易历史!B:B,交易历史!C:C,A2,交易历史!E:E,"首轮交易")+SUMIFS(交易历史!B:B,交易历史!D:D,A2,交易历史!E:E,"首轮交易")-SUMIFS(交易历史!B:B,交易历史!C:C,A2,交易历史!E:E,"二轮交易")+SUMIFS(交易历史!B:B,交易历史!D:D,A2,交易历史!E:E,"二轮交易")-SUMIFS(交易历史!B:B,交易历史!C:C,A2,交易历史!E:E,"三轮交易")+SUMIFS(交易历史!B:B,交易历史!D:D,A2,交易历史!E:E,"三轮交易")-SUMIFS(交易历史!B:B,交易历史!C:C,A2,交易历史!E:E,"四轮交易")+SUMIFS(交易历史!B:B,交易历史!D:D,A2,交易历史!E:E,"四轮交易")</f>
        <v>20</v>
      </c>
      <c r="F2" s="85">
        <f>第一轮比赛!E14</f>
        <v>0</v>
      </c>
      <c r="G2" s="86">
        <v>0</v>
      </c>
      <c r="H2" s="87">
        <v>0</v>
      </c>
      <c r="I2" s="87">
        <v>0</v>
      </c>
      <c r="J2" s="103">
        <v>0</v>
      </c>
    </row>
    <row r="3" ht="35.1" customHeight="1" spans="1:10">
      <c r="A3" s="88" t="s">
        <v>8</v>
      </c>
      <c r="B3" s="83" t="s">
        <v>9</v>
      </c>
      <c r="C3" s="83">
        <v>450</v>
      </c>
      <c r="D3" s="84">
        <f t="shared" si="0"/>
        <v>2550</v>
      </c>
      <c r="E3" s="85">
        <f>D3-SUMIFS(交易历史!B:B,交易历史!C:C,A3,交易历史!E:E,"首轮交易")+SUMIFS(交易历史!B:B,交易历史!D:D,A3,交易历史!E:E,"首轮交易")-SUMIFS(交易历史!B:B,交易历史!C:C,A3,交易历史!E:E,"二轮交易")+SUMIFS(交易历史!B:B,交易历史!D:D,A3,交易历史!E:E,"二轮交易")-SUMIFS(交易历史!B:B,交易历史!C:C,A3,交易历史!E:E,"三轮交易")+SUMIFS(交易历史!B:B,交易历史!D:D,A3,交易历史!E:E,"三轮交易")-SUMIFS(交易历史!B:B,交易历史!C:C,A3,交易历史!E:E,"四轮交易")+SUMIFS(交易历史!B:B,交易历史!D:D,A3,交易历史!E:E,"四轮交易")</f>
        <v>0</v>
      </c>
      <c r="F3" s="85">
        <f>第一轮比赛!E15</f>
        <v>0</v>
      </c>
      <c r="G3" s="86">
        <v>0</v>
      </c>
      <c r="H3" s="87">
        <v>0</v>
      </c>
      <c r="I3" s="87">
        <v>0</v>
      </c>
      <c r="J3" s="103">
        <v>0</v>
      </c>
    </row>
    <row r="4" ht="35.1" customHeight="1" spans="1:10">
      <c r="A4" s="89" t="s">
        <v>10</v>
      </c>
      <c r="B4" s="83" t="s">
        <v>11</v>
      </c>
      <c r="C4" s="83">
        <v>900</v>
      </c>
      <c r="D4" s="84">
        <f t="shared" si="0"/>
        <v>2100</v>
      </c>
      <c r="E4" s="85">
        <f>D4-SUMIFS(交易历史!B:B,交易历史!C:C,A4,交易历史!E:E,"首轮交易")+SUMIFS(交易历史!B:B,交易历史!D:D,A4,交易历史!E:E,"首轮交易")-SUMIFS(交易历史!B:B,交易历史!C:C,A4,交易历史!E:E,"二轮交易")+SUMIFS(交易历史!B:B,交易历史!D:D,A4,交易历史!E:E,"二轮交易")-SUMIFS(交易历史!B:B,交易历史!C:C,A4,交易历史!E:E,"三轮交易")+SUMIFS(交易历史!B:B,交易历史!D:D,A4,交易历史!E:E,"三轮交易")-SUMIFS(交易历史!B:B,交易历史!C:C,A4,交易历史!E:E,"四轮交易")+SUMIFS(交易历史!B:B,交易历史!D:D,A4,交易历史!E:E,"四轮交易")</f>
        <v>30</v>
      </c>
      <c r="F4" s="85">
        <f>第一轮比赛!E16</f>
        <v>0</v>
      </c>
      <c r="G4" s="86">
        <v>0</v>
      </c>
      <c r="H4" s="87">
        <v>0</v>
      </c>
      <c r="I4" s="87">
        <v>0</v>
      </c>
      <c r="J4" s="103">
        <v>0</v>
      </c>
    </row>
    <row r="5" ht="35.1" customHeight="1" spans="1:10">
      <c r="A5" s="90" t="s">
        <v>12</v>
      </c>
      <c r="B5" s="83" t="s">
        <v>13</v>
      </c>
      <c r="C5" s="83">
        <v>800</v>
      </c>
      <c r="D5" s="84">
        <f t="shared" si="0"/>
        <v>2200</v>
      </c>
      <c r="E5" s="85">
        <f>D5-SUMIFS(交易历史!B:B,交易历史!C:C,A5,交易历史!E:E,"首轮交易")+SUMIFS(交易历史!B:B,交易历史!D:D,A5,交易历史!E:E,"首轮交易")-SUMIFS(交易历史!B:B,交易历史!C:C,A5,交易历史!E:E,"二轮交易")+SUMIFS(交易历史!B:B,交易历史!D:D,A5,交易历史!E:E,"二轮交易")-SUMIFS(交易历史!B:B,交易历史!C:C,A5,交易历史!E:E,"三轮交易")+SUMIFS(交易历史!B:B,交易历史!D:D,A5,交易历史!E:E,"三轮交易")-SUMIFS(交易历史!B:B,交易历史!C:C,A5,交易历史!E:E,"四轮交易")+SUMIFS(交易历史!B:B,交易历史!D:D,A5,交易历史!E:E,"四轮交易")</f>
        <v>630</v>
      </c>
      <c r="F5" s="85">
        <f>第一轮比赛!E17</f>
        <v>0</v>
      </c>
      <c r="G5" s="86">
        <v>0</v>
      </c>
      <c r="H5" s="87">
        <v>0</v>
      </c>
      <c r="I5" s="87">
        <v>0</v>
      </c>
      <c r="J5" s="103">
        <v>0</v>
      </c>
    </row>
    <row r="6" ht="35.1" customHeight="1" spans="1:10">
      <c r="A6" s="91" t="s">
        <v>14</v>
      </c>
      <c r="B6" s="83" t="s">
        <v>15</v>
      </c>
      <c r="C6" s="92">
        <v>800</v>
      </c>
      <c r="D6" s="84">
        <f t="shared" si="0"/>
        <v>2200</v>
      </c>
      <c r="E6" s="85">
        <f>D6-SUMIFS(交易历史!B:B,交易历史!C:C,A6,交易历史!E:E,"首轮交易")+SUMIFS(交易历史!B:B,交易历史!D:D,A6,交易历史!E:E,"首轮交易")-SUMIFS(交易历史!B:B,交易历史!C:C,A6,交易历史!E:E,"二轮交易")+SUMIFS(交易历史!B:B,交易历史!D:D,A6,交易历史!E:E,"二轮交易")-SUMIFS(交易历史!B:B,交易历史!C:C,A6,交易历史!E:E,"三轮交易")+SUMIFS(交易历史!B:B,交易历史!D:D,A6,交易历史!E:E,"三轮交易")-SUMIFS(交易历史!B:B,交易历史!C:C,A6,交易历史!E:E,"四轮交易")+SUMIFS(交易历史!B:B,交易历史!D:D,A6,交易历史!E:E,"四轮交易")</f>
        <v>90</v>
      </c>
      <c r="F6" s="85">
        <f>第一轮比赛!E18</f>
        <v>0</v>
      </c>
      <c r="G6" s="86">
        <v>0</v>
      </c>
      <c r="H6" s="87">
        <v>0</v>
      </c>
      <c r="I6" s="87">
        <v>0</v>
      </c>
      <c r="J6" s="103">
        <v>0</v>
      </c>
    </row>
    <row r="7" ht="35.1" customHeight="1" spans="1:10">
      <c r="A7" s="93" t="s">
        <v>16</v>
      </c>
      <c r="B7" s="83" t="s">
        <v>17</v>
      </c>
      <c r="C7" s="92">
        <v>800</v>
      </c>
      <c r="D7" s="84">
        <f t="shared" si="0"/>
        <v>2200</v>
      </c>
      <c r="E7" s="85">
        <f>D7-SUMIFS(交易历史!B:B,交易历史!C:C,A7,交易历史!E:E,"首轮交易")+SUMIFS(交易历史!B:B,交易历史!D:D,A7,交易历史!E:E,"首轮交易")-SUMIFS(交易历史!B:B,交易历史!C:C,A7,交易历史!E:E,"二轮交易")+SUMIFS(交易历史!B:B,交易历史!D:D,A7,交易历史!E:E,"二轮交易")-SUMIFS(交易历史!B:B,交易历史!C:C,A7,交易历史!E:E,"三轮交易")+SUMIFS(交易历史!B:B,交易历史!D:D,A7,交易历史!E:E,"三轮交易")-SUMIFS(交易历史!B:B,交易历史!C:C,A7,交易历史!E:E,"四轮交易")+SUMIFS(交易历史!B:B,交易历史!D:D,A7,交易历史!E:E,"四轮交易")</f>
        <v>90</v>
      </c>
      <c r="F7" s="85">
        <f>第一轮比赛!E19</f>
        <v>0</v>
      </c>
      <c r="G7" s="86">
        <v>0</v>
      </c>
      <c r="H7" s="87">
        <v>0</v>
      </c>
      <c r="I7" s="87">
        <v>0</v>
      </c>
      <c r="J7" s="103">
        <v>0</v>
      </c>
    </row>
    <row r="8" ht="35.1" customHeight="1" spans="1:10">
      <c r="A8" s="94" t="s">
        <v>18</v>
      </c>
      <c r="B8" s="83" t="s">
        <v>19</v>
      </c>
      <c r="C8" s="83">
        <v>250</v>
      </c>
      <c r="D8" s="84">
        <f t="shared" si="0"/>
        <v>2750</v>
      </c>
      <c r="E8" s="85">
        <f>D8-SUMIFS(交易历史!B:B,交易历史!C:C,A8,交易历史!E:E,"首轮交易")+SUMIFS(交易历史!B:B,交易历史!D:D,A8,交易历史!E:E,"首轮交易")-SUMIFS(交易历史!B:B,交易历史!C:C,A8,交易历史!E:E,"二轮交易")+SUMIFS(交易历史!B:B,交易历史!D:D,A8,交易历史!E:E,"二轮交易")-SUMIFS(交易历史!B:B,交易历史!C:C,A8,交易历史!E:E,"三轮交易")+SUMIFS(交易历史!B:B,交易历史!D:D,A8,交易历史!E:E,"三轮交易")-SUMIFS(交易历史!B:B,交易历史!C:C,A8,交易历史!E:E,"四轮交易")+SUMIFS(交易历史!B:B,交易历史!D:D,A8,交易历史!E:E,"四轮交易")</f>
        <v>650</v>
      </c>
      <c r="F8" s="85">
        <f>第一轮比赛!E20</f>
        <v>0</v>
      </c>
      <c r="G8" s="86">
        <v>0</v>
      </c>
      <c r="H8" s="87">
        <v>0</v>
      </c>
      <c r="I8" s="87">
        <v>0</v>
      </c>
      <c r="J8" s="103">
        <v>0</v>
      </c>
    </row>
    <row r="9" ht="35.1" customHeight="1" spans="1:10">
      <c r="A9" s="95" t="s">
        <v>20</v>
      </c>
      <c r="B9" s="96" t="s">
        <v>21</v>
      </c>
      <c r="C9" s="96">
        <v>300</v>
      </c>
      <c r="D9" s="97">
        <f t="shared" si="0"/>
        <v>2700</v>
      </c>
      <c r="E9" s="98">
        <f>D9-SUMIFS(交易历史!B:B,交易历史!C:C,A9,交易历史!E:E,"首轮交易")+SUMIFS(交易历史!B:B,交易历史!D:D,A9,交易历史!E:E,"首轮交易")-SUMIFS(交易历史!B:B,交易历史!C:C,A9,交易历史!E:E,"二轮交易")+SUMIFS(交易历史!B:B,交易历史!D:D,A9,交易历史!E:E,"二轮交易")-SUMIFS(交易历史!B:B,交易历史!C:C,A9,交易历史!E:E,"三轮交易")+SUMIFS(交易历史!B:B,交易历史!D:D,A9,交易历史!E:E,"三轮交易")-SUMIFS(交易历史!B:B,交易历史!C:C,A9,交易历史!E:E,"四轮交易")+SUMIFS(交易历史!B:B,交易历史!D:D,A9,交易历史!E:E,"四轮交易")</f>
        <v>360</v>
      </c>
      <c r="F9" s="98">
        <f>第一轮比赛!E21</f>
        <v>0</v>
      </c>
      <c r="G9" s="99">
        <v>0</v>
      </c>
      <c r="H9" s="100">
        <v>0</v>
      </c>
      <c r="I9" s="100">
        <v>0</v>
      </c>
      <c r="J9" s="104">
        <v>0</v>
      </c>
    </row>
    <row r="10" ht="17.2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opLeftCell="A30" workbookViewId="0">
      <pane xSplit="11" topLeftCell="L1" activePane="topRight" state="frozen"/>
      <selection/>
      <selection pane="topRight" activeCell="H59" sqref="H59:K60"/>
    </sheetView>
  </sheetViews>
  <sheetFormatPr defaultColWidth="9" defaultRowHeight="16.5"/>
  <cols>
    <col min="1" max="1" width="21.6666666666667" style="28" customWidth="1"/>
    <col min="2" max="9" width="13.8888888888889" style="28" customWidth="1"/>
    <col min="10" max="10" width="14.7777777777778" style="28" customWidth="1"/>
    <col min="11" max="11" width="14.4444444444444" style="28" customWidth="1"/>
    <col min="12" max="20" width="12.7777777777778" style="28" customWidth="1"/>
    <col min="21" max="26" width="13.8888888888889" style="28" customWidth="1"/>
    <col min="27" max="16383" width="9" style="28" customWidth="1"/>
    <col min="16384" max="16384" width="9" style="4"/>
  </cols>
  <sheetData>
    <row r="1" s="24" customFormat="1" ht="24.75" customHeight="1" spans="1:7">
      <c r="A1" s="29" t="s">
        <v>251</v>
      </c>
      <c r="B1" s="29"/>
      <c r="C1" s="29"/>
      <c r="D1" s="29"/>
      <c r="E1" s="29"/>
      <c r="F1" s="29"/>
      <c r="G1" s="29"/>
    </row>
    <row r="2" s="25" customFormat="1" ht="22.5" customHeight="1" spans="1:7">
      <c r="A2" s="30" t="s">
        <v>1</v>
      </c>
      <c r="B2" s="30" t="s">
        <v>252</v>
      </c>
      <c r="C2" s="30" t="s">
        <v>253</v>
      </c>
      <c r="D2" s="30" t="s">
        <v>254</v>
      </c>
      <c r="E2" s="30" t="s">
        <v>255</v>
      </c>
      <c r="F2" s="30" t="s">
        <v>256</v>
      </c>
      <c r="G2" s="31"/>
    </row>
    <row r="3" ht="18" customHeight="1" spans="1:7">
      <c r="A3" s="32" t="s">
        <v>257</v>
      </c>
      <c r="B3" s="32">
        <f t="shared" ref="B3:B10" si="0">SUM(IF(($E$25=A3)*(($F$25+$F$26)&lt;&gt;0),IF($F$25&gt;$F$26,3,IF($F$25&lt;$F$26,0,1)),0),IF(($E$27=A3)*(($F$27+$F$28)&lt;&gt;0),IF($F$27&gt;$F$28,3,IF($F$27&lt;$F$28,0,1)),0),IF(($E$29=A3)*(($F$29+$F$30)&lt;&gt;0),IF($F$29&gt;$F$30,3,IF($F$29&lt;$F$30,0,1)),0),IF(($E$31=A3)*(($F$31+$F$32)&lt;&gt;0),IF($F$31&gt;$F$32,3,IF($F$31&lt;$F$32,0,1)),0),IF(($E$33=A3)*(($F$33+$F$34)&lt;&gt;0),IF($F$33&gt;$F$34,3,IF($F$33&lt;$F$34,0,1)),0),IF(($E$35=A3)*(($F$35+$F$36)&lt;&gt;0),IF($F$35&gt;$F$36,3,IF($F$35&lt;$F$36,0,1)),0),IF(($E$37=A3)*(($F$37+$F$38)&lt;&gt;0),IF($F$37&gt;$F$38,3,IF($F$37&lt;$F$38,0,1)),0),IF(($E$39=A3)*(($F$39+$F$40)&lt;&gt;0),IF($F$39&gt;$F$40,3,IF($F$39&lt;$F$40,0,1)),0),IF(($E$26=A3)*(($F$25+$F$26)&lt;&gt;0),IF($F$26&gt;$F$25,3,IF($F$26&lt;$F$25,0,1)),0),IF(($E$28=A3)*(($F$27+$F$28)&lt;&gt;0),IF($F$28&gt;$F$27,3,IF($F$28&lt;$F$27,0,1)),0),IF(($E$30=A3)*(($F$29+$F$30)&lt;&gt;0),IF($F$30&gt;$F$29,3,IF($F$30&lt;$F$29,0,1)),0),IF(($E$32=A3)*(($F$31+$F$32)&lt;&gt;0),IF($F$32&gt;$F$31,3,IF($F$32&lt;$F$31,0,1)),0),IF(($E$34=A3)*(($F$33+$F$34)&lt;&gt;0),IF($F$34&gt;$F$33,3,IF($F$34&lt;$F$33,0,1)),0),IF(($E$36=A3)*(($F$35+$F$36)&lt;&gt;0),IF($F$36&gt;$F$35,3,IF($F$36&lt;$F$35,0,1)),0),IF(($E$38=A3)*(($F$37+$F$38)&lt;&gt;0),IF($F$38&gt;$F$37,3,IF($F$38&lt;$F$37,0,1)),0),IF(($E$40=A3)*(($F$39+$F$40)&lt;&gt;0),IF($F$40&gt;$F$39,3,IF($F$40&lt;$F$39,0,1)),0))</f>
        <v>0</v>
      </c>
      <c r="C3" s="32">
        <f ca="1">D3-E3</f>
        <v>0</v>
      </c>
      <c r="D3" s="32">
        <f t="array" ref="D3">SUMPRODUCT(IF($E$25:$E$40=A3,$F$25:$F$40,0))</f>
        <v>0</v>
      </c>
      <c r="E3" s="32">
        <f ca="1" t="array" ref="E3">SUMPRODUCT(IF(($E$25:$E$40=A3)*(MOD(ROW($E$25:$E$40)-ROW($E$25),2)=0),OFFSET($F$25:$F$40,1,0),0))+SUMPRODUCT(IF(($E$25:$E$40=A3)*(MOD(ROW($E$25:$E$40)-ROW($E$25),2)=1),OFFSET($F$25:$F$40,-1,0),0))</f>
        <v>0</v>
      </c>
      <c r="F3" s="32">
        <f t="array" ref="F3">SUMPRODUCT(IF($E$25:$E$40=A3,$G$25:$G$40,0))</f>
        <v>0</v>
      </c>
      <c r="G3" s="32"/>
    </row>
    <row r="4" ht="18" customHeight="1" spans="1:7">
      <c r="A4" s="33" t="s">
        <v>258</v>
      </c>
      <c r="B4" s="33">
        <f t="shared" si="0"/>
        <v>0</v>
      </c>
      <c r="C4" s="33">
        <f ca="1" t="array" ref="C4">SUMPRODUCT(IF(($E$25:$E$40=A4)*(MOD(ROW($F$25:$F$40)-ROW($F$25),2)=0),$F$25:$F$40-OFFSET($F$25:$F$40,1,0),0))+SUMPRODUCT(IF(($E$25:$E$40=A4)*(MOD(ROW($F$25:$F$40)-ROW($F$25),2)=1),OFFSET($F$25:$F$40,-1,0)-$F$25:$F$40,0))</f>
        <v>0</v>
      </c>
      <c r="D4" s="33">
        <f>SUMPRODUCT((($E$25:$E$40="【SSR】")*($F$25:$F$40)))</f>
        <v>0</v>
      </c>
      <c r="E4" s="33">
        <f ca="1" t="array" ref="E4">SUMPRODUCT(IF(($E$25:$E$40=A4)*(MOD(ROW($E$25:$E$40)-ROW($E$25),2)=0),OFFSET($F$25:$F$40,1,0),0))+SUMPRODUCT(IF(($E$25:$E$40=A4)*(MOD(ROW($E$25:$E$40)-ROW($E$25),2)=1),OFFSET($F$25:$F$40,-1,0),0))</f>
        <v>0</v>
      </c>
      <c r="F4" s="33">
        <f t="array" ref="F4">SUMPRODUCT(IF($E$25:$E$40=A4,$G$25:$G$40,0))</f>
        <v>0</v>
      </c>
      <c r="G4" s="33"/>
    </row>
    <row r="5" ht="18" customHeight="1" spans="1:7">
      <c r="A5" s="34" t="s">
        <v>259</v>
      </c>
      <c r="B5" s="34">
        <f t="shared" si="0"/>
        <v>0</v>
      </c>
      <c r="C5" s="34">
        <f ca="1" t="array" ref="C5">SUMPRODUCT(IF(($E$25:$E$40=A5)*(MOD(ROW($F$25:$F$40)-ROW($F$25),2)=0),$F$25:$F$40-OFFSET($F$25:$F$40,1,0),0))+SUMPRODUCT(IF(($E$25:$E$40=A5)*(MOD(ROW($F$25:$F$40)-ROW($F$25),2)=1),OFFSET($F$25:$F$40,-1,0)-$F$25:$F$40,0))</f>
        <v>0</v>
      </c>
      <c r="D5" s="34">
        <f>SUMPRODUCT((($E$25:$E$40="【OldH】")*($F$25:$F$40)))</f>
        <v>0</v>
      </c>
      <c r="E5" s="34">
        <f ca="1" t="array" ref="E5">SUMPRODUCT(IF(($E$25:$E$40=A5)*(MOD(ROW($E$25:$E$40)-ROW($E$25),2)=0),OFFSET($F$25:$F$40,1,0),0))+SUMPRODUCT(IF(($E$25:$E$40=A5)*(MOD(ROW($E$25:$E$40)-ROW($E$25),2)=1),OFFSET($F$25:$F$40,-1,0),0))</f>
        <v>0</v>
      </c>
      <c r="F5" s="34">
        <f t="array" ref="F5">SUMPRODUCT(IF($E$25:$E$40=A5,$G$25:$G$40,0))</f>
        <v>0</v>
      </c>
      <c r="G5" s="34"/>
    </row>
    <row r="6" ht="18" customHeight="1" spans="1:7">
      <c r="A6" s="35" t="s">
        <v>260</v>
      </c>
      <c r="B6" s="35">
        <f t="shared" si="0"/>
        <v>0</v>
      </c>
      <c r="C6" s="35">
        <f ca="1" t="array" ref="C6">SUMPRODUCT(IF(($E$25:$E$40=A6)*(MOD(ROW($F$25:$F$40)-ROW($F$25),2)=0),$F$25:$F$40-OFFSET($F$25:$F$40,1,0),0))+SUMPRODUCT(IF(($E$25:$E$40=A6)*(MOD(ROW($F$25:$F$40)-ROW($F$25),2)=1),OFFSET($F$25:$F$40,-1,0)-$F$25:$F$40,0))</f>
        <v>0</v>
      </c>
      <c r="D6" s="35">
        <f>SUMPRODUCT((($E$25:$E$40="【AWO】")*($F$25:$F$40)))</f>
        <v>0</v>
      </c>
      <c r="E6" s="35">
        <f ca="1" t="array" ref="E6">SUMPRODUCT(IF(($E$25:$E$40=A6)*(MOD(ROW($E$25:$E$40)-ROW($E$25),2)=0),OFFSET($F$25:$F$40,1,0),0))+SUMPRODUCT(IF(($E$25:$E$40=A6)*(MOD(ROW($E$25:$E$40)-ROW($E$25),2)=1),OFFSET($F$25:$F$40,-1,0),0))</f>
        <v>0</v>
      </c>
      <c r="F6" s="35">
        <f t="array" ref="F6">SUMPRODUCT(IF($E$25:$E$40=A6,$G$25:$G$40,0))</f>
        <v>0</v>
      </c>
      <c r="G6" s="35"/>
    </row>
    <row r="7" ht="18" customHeight="1" spans="1:7">
      <c r="A7" s="36" t="s">
        <v>261</v>
      </c>
      <c r="B7" s="36">
        <f t="shared" si="0"/>
        <v>0</v>
      </c>
      <c r="C7" s="36">
        <f ca="1" t="array" ref="C7">SUMPRODUCT(IF(($E$25:$E$40=A7)*(MOD(ROW($F$25:$F$40)-ROW($F$25),2)=0),$F$25:$F$40-OFFSET($F$25:$F$40,1,0),0))+SUMPRODUCT(IF(($E$25:$E$40=A7)*(MOD(ROW($F$25:$F$40)-ROW($F$25),2)=1),OFFSET($F$25:$F$40,-1,0)-$F$25:$F$40,0))</f>
        <v>0</v>
      </c>
      <c r="D7" s="36">
        <f>SUMPRODUCT((($E$25:$E$40="【G2】")*($F$25:$F$40)))</f>
        <v>0</v>
      </c>
      <c r="E7" s="36">
        <f ca="1" t="array" ref="E7">SUMPRODUCT(IF(($E$25:$E$40=A7)*(MOD(ROW($E$25:$E$40)-ROW($E$25),2)=0),OFFSET($F$25:$F$40,1,0),0))+SUMPRODUCT(IF(($E$25:$E$40=A7)*(MOD(ROW($E$25:$E$40)-ROW($E$25),2)=1),OFFSET($F$25:$F$40,-1,0),0))</f>
        <v>0</v>
      </c>
      <c r="F7" s="36">
        <f t="array" ref="F7">SUMPRODUCT(IF($E$25:$E$40=A7,$G$25:$G$40,0))</f>
        <v>0</v>
      </c>
      <c r="G7" s="36"/>
    </row>
    <row r="8" ht="18" customHeight="1" spans="1:7">
      <c r="A8" s="37" t="s">
        <v>262</v>
      </c>
      <c r="B8" s="37">
        <f t="shared" si="0"/>
        <v>0</v>
      </c>
      <c r="C8" s="37">
        <f ca="1" t="array" ref="C8">SUMPRODUCT(IF(($E$25:$E$40=A8)*(MOD(ROW($F$25:$F$40)-ROW($F$25),2)=0),$F$25:$F$40-OFFSET($F$25:$F$40,1,0),0))+SUMPRODUCT(IF(($E$25:$E$40=A8)*(MOD(ROW($F$25:$F$40)-ROW($F$25),2)=1),OFFSET($F$25:$F$40,-1,0)-$F$25:$F$40,0))</f>
        <v>0</v>
      </c>
      <c r="D8" s="37">
        <f>SUMPRODUCT((($E$25:$E$40="【TV】")*($F$25:$F$40)))</f>
        <v>0</v>
      </c>
      <c r="E8" s="37">
        <f ca="1" t="array" ref="E8">SUMPRODUCT(IF(($E$25:$E$40=A8)*(MOD(ROW($E$25:$E$40)-ROW($E$25),2)=0),OFFSET($F$25:$F$40,1,0),0))+SUMPRODUCT(IF(($E$25:$E$40=A8)*(MOD(ROW($E$25:$E$40)-ROW($E$25),2)=1),OFFSET($F$25:$F$40,-1,0),0))</f>
        <v>0</v>
      </c>
      <c r="F8" s="37">
        <f t="array" ref="F8">SUMPRODUCT(IF($E$25:$E$40=A8,$G$25:$G$40,0))</f>
        <v>0</v>
      </c>
      <c r="G8" s="37"/>
    </row>
    <row r="9" ht="18" customHeight="1" spans="1:7">
      <c r="A9" s="38" t="s">
        <v>263</v>
      </c>
      <c r="B9" s="38">
        <f t="shared" si="0"/>
        <v>0</v>
      </c>
      <c r="C9" s="38">
        <f ca="1" t="array" ref="C9">SUMPRODUCT(IF(($E$25:$E$40=A9)*(MOD(ROW($F$25:$F$40)-ROW($F$25),2)=0),$F$25:$F$40-OFFSET($F$25:$F$40,1,0),0))+SUMPRODUCT(IF(($E$25:$E$40=A9)*(MOD(ROW($F$25:$F$40)-ROW($F$25),2)=1),OFFSET($F$25:$F$40,-1,0)-$F$25:$F$40,0))</f>
        <v>0</v>
      </c>
      <c r="D9" s="38">
        <f>SUMPRODUCT((($E$25:$E$40="【Miniworld】")*($F$25:$F$40)))</f>
        <v>0</v>
      </c>
      <c r="E9" s="38">
        <f ca="1" t="array" ref="E9">SUMPRODUCT(IF(($E$25:$E$40=A9)*(MOD(ROW($E$25:$E$40)-ROW($E$25),2)=0),OFFSET($F$25:$F$40,1,0),0))+SUMPRODUCT(IF(($E$25:$E$40=A9)*(MOD(ROW($E$25:$E$40)-ROW($E$25),2)=1),OFFSET($F$25:$F$40,-1,0),0))</f>
        <v>0</v>
      </c>
      <c r="F9" s="38">
        <f t="array" ref="F9">SUMPRODUCT(IF($E$25:$E$40=A9,$G$25:$G$40,0))</f>
        <v>0</v>
      </c>
      <c r="G9" s="38"/>
    </row>
    <row r="10" ht="18" customHeight="1" spans="1:7">
      <c r="A10" s="39" t="s">
        <v>264</v>
      </c>
      <c r="B10" s="39">
        <f t="shared" si="0"/>
        <v>0</v>
      </c>
      <c r="C10" s="39">
        <f ca="1" t="array" ref="C10">SUMPRODUCT(IF(($E$25:$E$40=A10)*(MOD(ROW($F$25:$F$40)-ROW($F$25),2)=0),$F$25:$F$40-OFFSET($F$25:$F$40,1,0),0))+SUMPRODUCT(IF(($E$25:$E$40=A10)*(MOD(ROW($F$25:$F$40)-ROW($F$25),2)=1),OFFSET($F$25:$F$40,-1,0)-$F$25:$F$40,0))</f>
        <v>0</v>
      </c>
      <c r="D10" s="39">
        <f>SUMPRODUCT((($E$25:$E$40="【NikoFC】")*($F$25:$F$40)))</f>
        <v>0</v>
      </c>
      <c r="E10" s="39">
        <f ca="1" t="array" ref="E10">SUMPRODUCT(IF(($E$25:$E$40=A10)*(MOD(ROW($E$25:$E$40)-ROW($E$25),2)=0),OFFSET($F$25:$F$40,1,0),0))+SUMPRODUCT(IF(($E$25:$E$40=A10)*(MOD(ROW($E$25:$E$40)-ROW($E$25),2)=1),OFFSET($F$25:$F$40,-1,0),0))</f>
        <v>0</v>
      </c>
      <c r="F10" s="39">
        <f t="array" ref="F10">SUMPRODUCT(IF($E$25:$E$40=A10,$G$25:$G$40,0))</f>
        <v>0</v>
      </c>
      <c r="G10" s="39"/>
    </row>
    <row r="12" s="24" customFormat="1" ht="24.75" customHeight="1" spans="1:5">
      <c r="A12" s="40" t="s">
        <v>265</v>
      </c>
      <c r="B12" s="29"/>
      <c r="C12" s="29"/>
      <c r="D12" s="29"/>
      <c r="E12" s="29"/>
    </row>
    <row r="13" s="25" customFormat="1" ht="22.5" customHeight="1" spans="1:5">
      <c r="A13" s="30" t="s">
        <v>1</v>
      </c>
      <c r="B13" s="30" t="s">
        <v>266</v>
      </c>
      <c r="C13" s="31" t="s">
        <v>267</v>
      </c>
      <c r="D13" s="31" t="s">
        <v>268</v>
      </c>
      <c r="E13" s="30" t="s">
        <v>269</v>
      </c>
    </row>
    <row r="14" ht="18" customHeight="1" spans="1:5">
      <c r="A14" s="41" t="s">
        <v>257</v>
      </c>
      <c r="B14" s="41">
        <f>INDEX(D$3:D$10,MATCH(A14,A$3:A$10,0))*10</f>
        <v>0</v>
      </c>
      <c r="C14" s="41">
        <f>INDEX(F$3:F$10,MATCH(A14,A$3:A$10,0))*50</f>
        <v>0</v>
      </c>
      <c r="D14" s="41">
        <f t="shared" ref="D14:D21" si="1">SUM(IF(($E$25=$A14)*($I$25=$E$25),($F$25*10+$G$25*50),0),IF(($E$27=$A14)*($I$27=$E$27),($F$27*10+$G$27*50),0),IF(($E$29=$A14)*($I$29=$E$29),($F$29*10+$G$29*50),0),IF(($E$31=$A14)*($I$31=$E$31),($F$31*10+$G$31*50),0),IF(($E$33=$A14)*($I$33=$E$33),($F$33*10+$G$33*50),0),IF(($E$35=$A14)*($I$35=$E$35),($F$35*10+$G$35*50),0),IF(($E$37=$A14)*($I$37=$E$37),($F$37*10+$G$37*50),0),IF(($E$39=$A14)*($I$39=$E$39),($F$39*10+$G$39*50),0),IF(($E$26=$A14)*($I$25=$E$26),($F$26*10+$G$26*50),0),IF(($E$28=$A14)*($I$27=$E$28),($F$28*10+$G$28*50),0),IF(($E$30=$A14)*($I$29=$E$30),($F$30*10+$G$30*50),0),IF(($E$32=$A14)*($I$31=$E$32),($F$32*10+$G$32*50),0),IF(($E$34=$A14)*($I$33=$E$34),($F$34*10+$G$34*50),0),IF(($E$36=$A14)*($I$35=$E$36),($F$36*10+$G$36*50),0),IF(($E$38=$A14)*($I$37=$E$38),($F$38*10+$G$38*50),0),IF(($E$40=$A14)*($I$39=$E$40),($F$40*10+$G$40*50),0))</f>
        <v>0</v>
      </c>
      <c r="E14" s="41">
        <f t="shared" ref="E14:E21" si="2">B14+C14+D14</f>
        <v>0</v>
      </c>
    </row>
    <row r="15" ht="18" customHeight="1" spans="1:5">
      <c r="A15" s="42" t="s">
        <v>258</v>
      </c>
      <c r="B15" s="42">
        <f>INDEX(D$3:D$10,MATCH(A15,A$3:A$10,0))*10</f>
        <v>0</v>
      </c>
      <c r="C15" s="42">
        <f>INDEX(F$3:F$10,MATCH(A15,A$3:A$10,0))*50</f>
        <v>0</v>
      </c>
      <c r="D15" s="42">
        <f t="shared" si="1"/>
        <v>0</v>
      </c>
      <c r="E15" s="42">
        <f t="shared" si="2"/>
        <v>0</v>
      </c>
    </row>
    <row r="16" ht="18" customHeight="1" spans="1:5">
      <c r="A16" s="43" t="s">
        <v>259</v>
      </c>
      <c r="B16" s="43">
        <f>INDEX(D$3:D$10,MATCH(A16,A$3:A$10,0))*10</f>
        <v>0</v>
      </c>
      <c r="C16" s="43">
        <f>INDEX(F$3:F$10,MATCH(A16,A$3:A$10,0))*50</f>
        <v>0</v>
      </c>
      <c r="D16" s="43">
        <f t="shared" si="1"/>
        <v>0</v>
      </c>
      <c r="E16" s="43">
        <f t="shared" si="2"/>
        <v>0</v>
      </c>
    </row>
    <row r="17" ht="18" customHeight="1" spans="1:5">
      <c r="A17" s="44" t="s">
        <v>260</v>
      </c>
      <c r="B17" s="44">
        <f>INDEX(D$3:D$10,MATCH(A17,A$3:A$10,0))*10</f>
        <v>0</v>
      </c>
      <c r="C17" s="44">
        <f>INDEX(F$3:F$10,MATCH(A17,A$3:A$10,0))*50</f>
        <v>0</v>
      </c>
      <c r="D17" s="44">
        <f t="shared" si="1"/>
        <v>0</v>
      </c>
      <c r="E17" s="44">
        <f t="shared" si="2"/>
        <v>0</v>
      </c>
    </row>
    <row r="18" ht="18" customHeight="1" spans="1:5">
      <c r="A18" s="36" t="s">
        <v>261</v>
      </c>
      <c r="B18" s="36">
        <f>INDEX(D$3:D$10,MATCH(A18,A$3:A$10,0))*10</f>
        <v>0</v>
      </c>
      <c r="C18" s="36">
        <f>INDEX(F$3:F$10,MATCH(A18,A$3:A$10,0))*50</f>
        <v>0</v>
      </c>
      <c r="D18" s="36">
        <f t="shared" si="1"/>
        <v>0</v>
      </c>
      <c r="E18" s="36">
        <f t="shared" si="2"/>
        <v>0</v>
      </c>
    </row>
    <row r="19" ht="18" customHeight="1" spans="1:5">
      <c r="A19" s="37" t="s">
        <v>262</v>
      </c>
      <c r="B19" s="37">
        <f>INDEX(D$3:D$10,MATCH(A19,A$3:A$10,0))*10</f>
        <v>0</v>
      </c>
      <c r="C19" s="37">
        <f>INDEX(F$3:F$10,MATCH(A19,A$3:A$10,0))*50</f>
        <v>0</v>
      </c>
      <c r="D19" s="37">
        <f t="shared" si="1"/>
        <v>0</v>
      </c>
      <c r="E19" s="37">
        <f t="shared" si="2"/>
        <v>0</v>
      </c>
    </row>
    <row r="20" ht="18" customHeight="1" spans="1:5">
      <c r="A20" s="38" t="s">
        <v>263</v>
      </c>
      <c r="B20" s="38">
        <f>INDEX(D$3:D$10,MATCH(A20,A$3:A$10,0))*10</f>
        <v>0</v>
      </c>
      <c r="C20" s="38">
        <f>INDEX(F$3:F$10,MATCH(A20,A$3:A$10,0))*50</f>
        <v>0</v>
      </c>
      <c r="D20" s="38">
        <f t="shared" si="1"/>
        <v>0</v>
      </c>
      <c r="E20" s="38">
        <f t="shared" si="2"/>
        <v>0</v>
      </c>
    </row>
    <row r="21" ht="18" customHeight="1" spans="1:5">
      <c r="A21" s="39" t="s">
        <v>264</v>
      </c>
      <c r="B21" s="39">
        <f>INDEX(D$3:D$10,MATCH(A21,A$3:A$10,0))*10</f>
        <v>0</v>
      </c>
      <c r="C21" s="39">
        <f>INDEX(F$3:F$10,MATCH(A21,A$3:A$10,0))*50</f>
        <v>0</v>
      </c>
      <c r="D21" s="39">
        <f t="shared" si="1"/>
        <v>0</v>
      </c>
      <c r="E21" s="39">
        <f t="shared" si="2"/>
        <v>0</v>
      </c>
    </row>
    <row r="23" s="26" customFormat="1" ht="23.25" customHeight="1" spans="1:11">
      <c r="A23" s="45" t="s">
        <v>270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s="27" customFormat="1" ht="19.5" customHeight="1" spans="1:26">
      <c r="A24" s="46" t="s">
        <v>271</v>
      </c>
      <c r="B24" s="47" t="s">
        <v>272</v>
      </c>
      <c r="C24" s="47" t="s">
        <v>273</v>
      </c>
      <c r="D24" s="47" t="s">
        <v>274</v>
      </c>
      <c r="E24" s="46" t="s">
        <v>275</v>
      </c>
      <c r="F24" s="47" t="s">
        <v>254</v>
      </c>
      <c r="G24" s="47" t="s">
        <v>276</v>
      </c>
      <c r="H24" s="48" t="s">
        <v>277</v>
      </c>
      <c r="I24" s="64" t="s">
        <v>278</v>
      </c>
      <c r="J24" s="65" t="s">
        <v>279</v>
      </c>
      <c r="K24" s="66" t="s">
        <v>280</v>
      </c>
      <c r="L24" s="67" t="s">
        <v>281</v>
      </c>
      <c r="M24" s="67" t="s">
        <v>282</v>
      </c>
      <c r="N24" s="67" t="s">
        <v>283</v>
      </c>
      <c r="O24" s="67" t="s">
        <v>284</v>
      </c>
      <c r="P24" s="67" t="s">
        <v>285</v>
      </c>
      <c r="Q24" s="67" t="s">
        <v>286</v>
      </c>
      <c r="R24" s="67" t="s">
        <v>287</v>
      </c>
      <c r="S24" s="67" t="s">
        <v>288</v>
      </c>
      <c r="T24" s="67" t="s">
        <v>289</v>
      </c>
      <c r="U24" s="67" t="s">
        <v>290</v>
      </c>
      <c r="V24" s="67" t="s">
        <v>291</v>
      </c>
      <c r="W24" s="67" t="s">
        <v>292</v>
      </c>
      <c r="X24" s="67" t="s">
        <v>293</v>
      </c>
      <c r="Y24" s="67" t="s">
        <v>294</v>
      </c>
      <c r="Z24" s="76" t="s">
        <v>295</v>
      </c>
    </row>
    <row r="25" ht="18.75" customHeight="1" spans="1:26">
      <c r="A25" s="49" t="s">
        <v>296</v>
      </c>
      <c r="B25" s="50" t="s">
        <v>297</v>
      </c>
      <c r="C25" s="51"/>
      <c r="D25" s="51" t="s">
        <v>298</v>
      </c>
      <c r="E25" s="46" t="s">
        <v>257</v>
      </c>
      <c r="F25" s="47"/>
      <c r="G25" s="47"/>
      <c r="H25" s="48">
        <f>SUMPRODUCT(SUMIF('队伍总览 '!B4:B19,L25:Z25,'队伍总览 '!C4:C19))</f>
        <v>0</v>
      </c>
      <c r="I25" s="68" t="str">
        <f t="shared" ref="I25:I29" si="3">IF(ABS(H25-H26)&gt;200,IF(H25&lt;H26,E25,E26),"均势")</f>
        <v>均势</v>
      </c>
      <c r="J25" s="69" t="s">
        <v>299</v>
      </c>
      <c r="K25" s="70" t="s">
        <v>300</v>
      </c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7"/>
    </row>
    <row r="26" ht="18.75" customHeight="1" spans="1:26">
      <c r="A26" s="52"/>
      <c r="B26" s="53"/>
      <c r="C26" s="53"/>
      <c r="D26" s="53"/>
      <c r="E26" s="54" t="s">
        <v>258</v>
      </c>
      <c r="F26" s="55"/>
      <c r="G26" s="55"/>
      <c r="H26" s="56">
        <f t="array" ref="H26">SUMPRODUCT(SUMIF('队伍总览 '!F4:F19,L26:Z26,'队伍总览 '!G4:G19))</f>
        <v>0</v>
      </c>
      <c r="I26" s="72"/>
      <c r="J26" s="73" t="s">
        <v>301</v>
      </c>
      <c r="K26" s="74" t="s">
        <v>302</v>
      </c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8"/>
    </row>
    <row r="27" ht="18.75" customHeight="1" spans="1:26">
      <c r="A27" s="49" t="s">
        <v>296</v>
      </c>
      <c r="B27" s="51" t="s">
        <v>303</v>
      </c>
      <c r="C27" s="51"/>
      <c r="D27" s="51" t="s">
        <v>304</v>
      </c>
      <c r="E27" s="46" t="s">
        <v>259</v>
      </c>
      <c r="F27" s="47"/>
      <c r="G27" s="47"/>
      <c r="H27" s="48">
        <f t="array" ref="H27">SUMPRODUCT(SUMIF('队伍总览 '!J4:J19,L27:Z27,'队伍总览 '!K4:K19))</f>
        <v>0</v>
      </c>
      <c r="I27" s="68" t="str">
        <f t="shared" si="3"/>
        <v>均势</v>
      </c>
      <c r="J27" s="69" t="s">
        <v>299</v>
      </c>
      <c r="K27" s="70" t="s">
        <v>300</v>
      </c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7"/>
    </row>
    <row r="28" ht="18.75" customHeight="1" spans="1:26">
      <c r="A28" s="52"/>
      <c r="B28" s="53"/>
      <c r="C28" s="53"/>
      <c r="D28" s="53"/>
      <c r="E28" s="54" t="s">
        <v>260</v>
      </c>
      <c r="F28" s="55"/>
      <c r="G28" s="55"/>
      <c r="H28" s="56">
        <f t="array" ref="H28">SUMPRODUCT(SUMIF('队伍总览 '!N4:N19,L28:Z28,'队伍总览 '!O4:O19))</f>
        <v>0</v>
      </c>
      <c r="I28" s="72"/>
      <c r="J28" s="73" t="s">
        <v>301</v>
      </c>
      <c r="K28" s="74" t="s">
        <v>302</v>
      </c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8"/>
    </row>
    <row r="29" ht="18.75" customHeight="1" spans="1:26">
      <c r="A29" s="49" t="s">
        <v>296</v>
      </c>
      <c r="B29" s="51" t="s">
        <v>305</v>
      </c>
      <c r="C29" s="51"/>
      <c r="D29" s="51" t="s">
        <v>306</v>
      </c>
      <c r="E29" s="46" t="s">
        <v>261</v>
      </c>
      <c r="F29" s="47"/>
      <c r="G29" s="47"/>
      <c r="H29" s="48">
        <f>SUMPRODUCT(SUMIF('队伍总览 '!B36:B51,L29:Z29,'队伍总览 '!C36:C51))</f>
        <v>0</v>
      </c>
      <c r="I29" s="68" t="str">
        <f t="shared" si="3"/>
        <v>均势</v>
      </c>
      <c r="J29" s="69" t="s">
        <v>299</v>
      </c>
      <c r="K29" s="70" t="s">
        <v>300</v>
      </c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7"/>
    </row>
    <row r="30" ht="18.75" customHeight="1" spans="1:26">
      <c r="A30" s="52"/>
      <c r="B30" s="53"/>
      <c r="C30" s="53"/>
      <c r="D30" s="53"/>
      <c r="E30" s="54" t="s">
        <v>262</v>
      </c>
      <c r="F30" s="55"/>
      <c r="G30" s="55"/>
      <c r="H30" s="56">
        <f t="array" ref="H30">SUMPRODUCT(SUMIF('队伍总览 '!F36:F51,L30:Z30,'队伍总览 '!G36:G51))</f>
        <v>0</v>
      </c>
      <c r="I30" s="72"/>
      <c r="J30" s="73" t="s">
        <v>301</v>
      </c>
      <c r="K30" s="74" t="s">
        <v>302</v>
      </c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8"/>
    </row>
    <row r="31" ht="18.75" customHeight="1" spans="1:26">
      <c r="A31" s="49" t="s">
        <v>296</v>
      </c>
      <c r="B31" s="51" t="s">
        <v>307</v>
      </c>
      <c r="C31" s="51"/>
      <c r="D31" s="51" t="s">
        <v>308</v>
      </c>
      <c r="E31" s="46" t="s">
        <v>263</v>
      </c>
      <c r="F31" s="47"/>
      <c r="G31" s="47"/>
      <c r="H31" s="48">
        <f t="array" ref="H31">SUMPRODUCT(SUMIF('队伍总览 '!J36:J51,L31:Z31,'队伍总览 '!K36:K51))</f>
        <v>0</v>
      </c>
      <c r="I31" s="68" t="str">
        <f t="shared" ref="I31:I35" si="4">IF(ABS(H31-H32)&gt;200,IF(H31&lt;H32,E31,E32),"均势")</f>
        <v>均势</v>
      </c>
      <c r="J31" s="69" t="s">
        <v>299</v>
      </c>
      <c r="K31" s="70" t="s">
        <v>300</v>
      </c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7"/>
    </row>
    <row r="32" ht="18.75" customHeight="1" spans="1:26">
      <c r="A32" s="52"/>
      <c r="B32" s="53"/>
      <c r="C32" s="53"/>
      <c r="D32" s="53"/>
      <c r="E32" s="54" t="s">
        <v>264</v>
      </c>
      <c r="F32" s="55"/>
      <c r="G32" s="55"/>
      <c r="H32" s="28">
        <f t="array" ref="H32">SUMPRODUCT(SUMIF('队伍总览 '!N36:N51,L32:Z32,'队伍总览 '!O36:O51))</f>
        <v>0</v>
      </c>
      <c r="I32" s="72"/>
      <c r="J32" s="73" t="s">
        <v>301</v>
      </c>
      <c r="K32" s="74" t="s">
        <v>302</v>
      </c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8"/>
    </row>
    <row r="33" ht="18.75" customHeight="1" spans="1:26">
      <c r="A33" s="49" t="s">
        <v>309</v>
      </c>
      <c r="B33" s="51" t="s">
        <v>297</v>
      </c>
      <c r="C33" s="51"/>
      <c r="D33" s="51" t="s">
        <v>310</v>
      </c>
      <c r="E33" s="46" t="str">
        <f>IF(AND(NOT(ISBLANK(F25)),NOT(ISBLANK(F26))),IF(F25&gt;F26,E25,E26),"待定")</f>
        <v>待定</v>
      </c>
      <c r="F33" s="47"/>
      <c r="G33" s="47"/>
      <c r="H33" s="48">
        <f>SUMPRODUCT(SUMIF('队伍总览 '!B4:B19,L33:Z33,'队伍总览 '!C4:C19))</f>
        <v>0</v>
      </c>
      <c r="I33" s="68" t="str">
        <f t="shared" si="4"/>
        <v>均势</v>
      </c>
      <c r="J33" s="69" t="s">
        <v>302</v>
      </c>
      <c r="K33" s="70" t="s">
        <v>300</v>
      </c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7"/>
    </row>
    <row r="34" ht="18.75" customHeight="1" spans="1:26">
      <c r="A34" s="52"/>
      <c r="B34" s="53"/>
      <c r="C34" s="53"/>
      <c r="D34" s="53"/>
      <c r="E34" s="54" t="str">
        <f>IF(AND(NOT(ISBLANK(F27)),NOT(ISBLANK(F28))),IF(F27&gt;F28,E27,E28),"待定")</f>
        <v>待定</v>
      </c>
      <c r="F34" s="55"/>
      <c r="G34" s="55"/>
      <c r="H34" s="56">
        <f>SUMPRODUCT(SUMIF('队伍总览 '!F4:F19,L34:Z34,'队伍总览 '!F4:F19))</f>
        <v>0</v>
      </c>
      <c r="I34" s="72"/>
      <c r="J34" s="73" t="s">
        <v>311</v>
      </c>
      <c r="K34" s="74" t="s">
        <v>299</v>
      </c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8"/>
    </row>
    <row r="35" ht="18.75" customHeight="1" spans="1:26">
      <c r="A35" s="49" t="s">
        <v>309</v>
      </c>
      <c r="B35" s="51" t="s">
        <v>303</v>
      </c>
      <c r="C35" s="51"/>
      <c r="D35" s="51" t="s">
        <v>312</v>
      </c>
      <c r="E35" s="46" t="str">
        <f>IF(AND(NOT(ISBLANK(F25)),NOT(ISBLANK(F26))),IF(F25&lt;=F26,E25,E26),"待定")</f>
        <v>待定</v>
      </c>
      <c r="F35" s="47"/>
      <c r="G35" s="47"/>
      <c r="H35" s="48">
        <f>SUMPRODUCT(SUMIF('队伍总览 '!J4:J19,L35:Z35,'队伍总览 '!J4:J19))</f>
        <v>0</v>
      </c>
      <c r="I35" s="68" t="str">
        <f t="shared" si="4"/>
        <v>均势</v>
      </c>
      <c r="J35" s="69" t="s">
        <v>302</v>
      </c>
      <c r="K35" s="70" t="s">
        <v>300</v>
      </c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7"/>
    </row>
    <row r="36" ht="18.75" customHeight="1" spans="1:26">
      <c r="A36" s="52"/>
      <c r="B36" s="53"/>
      <c r="C36" s="53"/>
      <c r="D36" s="53"/>
      <c r="E36" s="54" t="str">
        <f>IF(AND(NOT(ISBLANK(F27)),NOT(ISBLANK(F28))),IF(F27&lt;=F28,E27,E28),"待定")</f>
        <v>待定</v>
      </c>
      <c r="F36" s="55"/>
      <c r="G36" s="55"/>
      <c r="H36" s="56">
        <f>SUMPRODUCT(SUMIF('队伍总览 '!N4:N19,L36:Z36,'队伍总览 '!N4:N19))</f>
        <v>0</v>
      </c>
      <c r="I36" s="72"/>
      <c r="J36" s="73" t="s">
        <v>311</v>
      </c>
      <c r="K36" s="74" t="s">
        <v>299</v>
      </c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8"/>
    </row>
    <row r="37" ht="18.75" customHeight="1" spans="1:26">
      <c r="A37" s="49" t="s">
        <v>313</v>
      </c>
      <c r="B37" s="51" t="s">
        <v>297</v>
      </c>
      <c r="C37" s="51"/>
      <c r="D37" s="51" t="s">
        <v>314</v>
      </c>
      <c r="E37" s="46" t="str">
        <f>IF(AND(NOT(ISBLANK(F29)),NOT(ISBLANK(F30))),IF(F29&gt;F30,E29,E30),"待定")</f>
        <v>待定</v>
      </c>
      <c r="F37" s="47"/>
      <c r="G37" s="47"/>
      <c r="H37" s="48">
        <f>SUMPRODUCT(SUMIF('队伍总览 '!B36:B51,L37:Z37,'队伍总览 '!C36:C51))</f>
        <v>0</v>
      </c>
      <c r="I37" s="68" t="str">
        <f>IF(ABS(H37-H38)&gt;200,IF(H37&lt;H38,E37,E38),"均势")</f>
        <v>均势</v>
      </c>
      <c r="J37" s="69" t="s">
        <v>302</v>
      </c>
      <c r="K37" s="70" t="s">
        <v>300</v>
      </c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7"/>
    </row>
    <row r="38" ht="18.75" customHeight="1" spans="1:26">
      <c r="A38" s="52"/>
      <c r="B38" s="53"/>
      <c r="C38" s="53"/>
      <c r="D38" s="53"/>
      <c r="E38" s="54" t="str">
        <f>IF(AND(NOT(ISBLANK(F31)),NOT(ISBLANK(F32))),IF(F31&gt;F32,E31,E32),"待定")</f>
        <v>待定</v>
      </c>
      <c r="F38" s="55"/>
      <c r="G38" s="55"/>
      <c r="H38" s="56">
        <f>SUMPRODUCT(SUMIF('队伍总览 '!F36:F51,L38:Z38,'队伍总览 '!F36:F51))</f>
        <v>0</v>
      </c>
      <c r="I38" s="72"/>
      <c r="J38" s="73" t="s">
        <v>311</v>
      </c>
      <c r="K38" s="74" t="s">
        <v>299</v>
      </c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8"/>
    </row>
    <row r="39" ht="18.75" customHeight="1" spans="1:26">
      <c r="A39" s="49" t="s">
        <v>313</v>
      </c>
      <c r="B39" s="51" t="s">
        <v>303</v>
      </c>
      <c r="C39" s="51"/>
      <c r="D39" s="51" t="s">
        <v>315</v>
      </c>
      <c r="E39" s="46" t="str">
        <f>IF(AND(NOT(ISBLANK(F29)),NOT(ISBLANK(F30))),IF(F29&lt;=F30,E29,E30),"待定")</f>
        <v>待定</v>
      </c>
      <c r="F39" s="47"/>
      <c r="G39" s="47"/>
      <c r="H39" s="48">
        <f>SUMPRODUCT(SUMIF('队伍总览 '!J36:J51,L39:Z39,'队伍总览 '!J36:J51))</f>
        <v>0</v>
      </c>
      <c r="I39" s="68" t="str">
        <f>IF(ABS(H39-H40)&gt;200,IF(H39&lt;H40,E39,E40),"均势")</f>
        <v>均势</v>
      </c>
      <c r="J39" s="69" t="s">
        <v>302</v>
      </c>
      <c r="K39" s="70" t="s">
        <v>300</v>
      </c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7"/>
    </row>
    <row r="40" ht="18.75" customHeight="1" spans="1:26">
      <c r="A40" s="52"/>
      <c r="B40" s="53"/>
      <c r="C40" s="53"/>
      <c r="D40" s="53"/>
      <c r="E40" s="54" t="str">
        <f>IF(AND(NOT(ISBLANK(F31)),NOT(ISBLANK(F32))),IF(F31&lt;=F32,E31,E32),"待定")</f>
        <v>待定</v>
      </c>
      <c r="F40" s="55"/>
      <c r="G40" s="55"/>
      <c r="H40" s="56">
        <f>SUMPRODUCT(SUMIF('队伍总览 '!N36:N51,L40:Z40,'队伍总览 '!N36:N51))</f>
        <v>0</v>
      </c>
      <c r="I40" s="72"/>
      <c r="J40" s="73" t="s">
        <v>311</v>
      </c>
      <c r="K40" s="74" t="s">
        <v>299</v>
      </c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8"/>
    </row>
    <row r="41" ht="17.25" customHeight="1"/>
    <row r="43" ht="22.5" spans="1:11">
      <c r="A43" s="57" t="s">
        <v>316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</row>
    <row r="44" ht="23.25" spans="1:11">
      <c r="A44" s="58" t="s">
        <v>274</v>
      </c>
      <c r="B44" s="58" t="s">
        <v>275</v>
      </c>
      <c r="C44" s="58" t="s">
        <v>317</v>
      </c>
      <c r="D44" s="58" t="s">
        <v>318</v>
      </c>
      <c r="E44" s="58"/>
      <c r="F44" s="58"/>
      <c r="G44" s="58"/>
      <c r="H44" s="58" t="s">
        <v>319</v>
      </c>
      <c r="I44" s="58"/>
      <c r="J44" s="58"/>
      <c r="K44" s="58"/>
    </row>
    <row r="45" ht="19.5" spans="1:3">
      <c r="A45" s="51" t="s">
        <v>298</v>
      </c>
      <c r="B45" s="46" t="s">
        <v>257</v>
      </c>
      <c r="C45" s="59" t="s">
        <v>169</v>
      </c>
    </row>
    <row r="46" ht="19.5" spans="1:3">
      <c r="A46" s="53"/>
      <c r="B46" s="54" t="s">
        <v>258</v>
      </c>
      <c r="C46" s="59"/>
    </row>
    <row r="47" ht="19.5" spans="1:7">
      <c r="A47" s="51" t="s">
        <v>304</v>
      </c>
      <c r="B47" s="46" t="s">
        <v>259</v>
      </c>
      <c r="C47" s="59" t="s">
        <v>320</v>
      </c>
      <c r="D47" s="60" t="s">
        <v>321</v>
      </c>
      <c r="E47" s="61"/>
      <c r="F47" s="61"/>
      <c r="G47" s="61"/>
    </row>
    <row r="48" ht="19.5" spans="1:7">
      <c r="A48" s="53"/>
      <c r="B48" s="54" t="s">
        <v>260</v>
      </c>
      <c r="C48" s="59"/>
      <c r="D48" s="61"/>
      <c r="E48" s="61"/>
      <c r="F48" s="61"/>
      <c r="G48" s="61"/>
    </row>
    <row r="49" ht="19.5" spans="1:7">
      <c r="A49" s="51" t="s">
        <v>306</v>
      </c>
      <c r="B49" s="46" t="s">
        <v>261</v>
      </c>
      <c r="C49" s="59" t="s">
        <v>322</v>
      </c>
      <c r="D49" s="60" t="s">
        <v>323</v>
      </c>
      <c r="E49" s="61"/>
      <c r="F49" s="61"/>
      <c r="G49" s="61"/>
    </row>
    <row r="50" ht="19.5" spans="1:7">
      <c r="A50" s="53"/>
      <c r="B50" s="54" t="s">
        <v>262</v>
      </c>
      <c r="C50" s="62"/>
      <c r="D50" s="61"/>
      <c r="E50" s="61"/>
      <c r="F50" s="61"/>
      <c r="G50" s="61"/>
    </row>
    <row r="51" ht="19.5" spans="1:7">
      <c r="A51" s="51" t="s">
        <v>308</v>
      </c>
      <c r="B51" s="46" t="s">
        <v>263</v>
      </c>
      <c r="C51" s="59" t="s">
        <v>324</v>
      </c>
      <c r="D51" s="60" t="s">
        <v>325</v>
      </c>
      <c r="E51" s="61"/>
      <c r="F51" s="61"/>
      <c r="G51" s="61"/>
    </row>
    <row r="52" ht="19.5" spans="1:7">
      <c r="A52" s="53"/>
      <c r="B52" s="54" t="s">
        <v>264</v>
      </c>
      <c r="C52" s="62"/>
      <c r="D52" s="61"/>
      <c r="E52" s="61"/>
      <c r="F52" s="61"/>
      <c r="G52" s="61"/>
    </row>
    <row r="53" ht="19.5" spans="1:3">
      <c r="A53" s="51" t="s">
        <v>310</v>
      </c>
      <c r="B53" s="46" t="str">
        <f>IF(AND(NOT(ISBLANK(C45)),NOT(ISBLANK(C46))),IF(C45&gt;C46,B45,B46),"待定")</f>
        <v>待定</v>
      </c>
      <c r="C53" s="63"/>
    </row>
    <row r="54" ht="19.5" spans="1:3">
      <c r="A54" s="53"/>
      <c r="B54" s="54" t="str">
        <f>IF(AND(NOT(ISBLANK(#REF!)),NOT(ISBLANK(C48))),IF(#REF!&gt;C48,B47,B48),"待定")</f>
        <v>待定</v>
      </c>
      <c r="C54" s="63"/>
    </row>
    <row r="55" ht="19.5" spans="1:3">
      <c r="A55" s="51" t="s">
        <v>312</v>
      </c>
      <c r="B55" s="46" t="str">
        <f>IF(AND(NOT(ISBLANK(C45)),NOT(ISBLANK(C46))),IF(C45&lt;=C46,B45,B46),"待定")</f>
        <v>待定</v>
      </c>
      <c r="C55" s="63"/>
    </row>
    <row r="56" ht="19.5" spans="1:3">
      <c r="A56" s="53"/>
      <c r="B56" s="54" t="str">
        <f>IF(AND(NOT(ISBLANK(#REF!)),NOT(ISBLANK(C48))),IF(#REF!&lt;=C48,B47,B48),"待定")</f>
        <v>待定</v>
      </c>
      <c r="C56" s="63"/>
    </row>
    <row r="57" ht="19.5" spans="1:3">
      <c r="A57" s="51" t="s">
        <v>314</v>
      </c>
      <c r="B57" s="46" t="str">
        <f>IF(AND(NOT(ISBLANK(C49)),NOT(ISBLANK(C50))),IF(C49&gt;C50,B49,B50),"待定")</f>
        <v>待定</v>
      </c>
      <c r="C57" s="63"/>
    </row>
    <row r="58" ht="19.5" spans="1:3">
      <c r="A58" s="53"/>
      <c r="B58" s="54" t="str">
        <f>IF(AND(NOT(ISBLANK(C51)),NOT(ISBLANK(C52))),IF(C51&gt;C52,B51,B52),"待定")</f>
        <v>待定</v>
      </c>
      <c r="C58" s="63"/>
    </row>
    <row r="59" ht="19.5" spans="1:3">
      <c r="A59" s="51" t="s">
        <v>315</v>
      </c>
      <c r="B59" s="46" t="str">
        <f>IF(AND(NOT(ISBLANK(C49)),NOT(ISBLANK(C50))),IF(C49&lt;=C50,B49,B50),"待定")</f>
        <v>待定</v>
      </c>
      <c r="C59" s="63"/>
    </row>
    <row r="60" ht="19.5" spans="1:3">
      <c r="A60" s="53"/>
      <c r="B60" s="54" t="str">
        <f>IF(AND(NOT(ISBLANK(C51)),NOT(ISBLANK(C52))),IF(C51&lt;=C52,B51,B52),"待定")</f>
        <v>待定</v>
      </c>
      <c r="C60" s="63"/>
    </row>
    <row r="61" ht="17.25"/>
  </sheetData>
  <sheetProtection formatCells="0" formatColumns="0" formatRows="0" insertRows="0" insertColumns="0" insertHyperlinks="0" deleteColumns="0" deleteRows="0" sort="0" autoFilter="0" pivotTables="0"/>
  <mergeCells count="78">
    <mergeCell ref="A1:F1"/>
    <mergeCell ref="A12:E12"/>
    <mergeCell ref="A23:K23"/>
    <mergeCell ref="A43:K43"/>
    <mergeCell ref="D44:G44"/>
    <mergeCell ref="H44:K44"/>
    <mergeCell ref="A25:A26"/>
    <mergeCell ref="A27:A28"/>
    <mergeCell ref="A29:A30"/>
    <mergeCell ref="A31:A32"/>
    <mergeCell ref="A33:A34"/>
    <mergeCell ref="A35:A36"/>
    <mergeCell ref="A37:A38"/>
    <mergeCell ref="A39:A40"/>
    <mergeCell ref="A45:A46"/>
    <mergeCell ref="A47:A48"/>
    <mergeCell ref="A49:A50"/>
    <mergeCell ref="A51:A52"/>
    <mergeCell ref="A53:A54"/>
    <mergeCell ref="A55:A56"/>
    <mergeCell ref="A57:A58"/>
    <mergeCell ref="A59:A60"/>
    <mergeCell ref="B25:B26"/>
    <mergeCell ref="B27:B28"/>
    <mergeCell ref="B29:B30"/>
    <mergeCell ref="B31:B32"/>
    <mergeCell ref="B33:B34"/>
    <mergeCell ref="B35:B36"/>
    <mergeCell ref="B37:B38"/>
    <mergeCell ref="B39:B40"/>
    <mergeCell ref="C25:C26"/>
    <mergeCell ref="C27:C28"/>
    <mergeCell ref="C29:C30"/>
    <mergeCell ref="C31:C32"/>
    <mergeCell ref="C33:C34"/>
    <mergeCell ref="C35:C36"/>
    <mergeCell ref="C37:C38"/>
    <mergeCell ref="C39:C40"/>
    <mergeCell ref="C45:C46"/>
    <mergeCell ref="C47:C48"/>
    <mergeCell ref="C49:C50"/>
    <mergeCell ref="C51:C52"/>
    <mergeCell ref="C53:C54"/>
    <mergeCell ref="C55:C56"/>
    <mergeCell ref="C57:C58"/>
    <mergeCell ref="C59:C60"/>
    <mergeCell ref="D25:D26"/>
    <mergeCell ref="D27:D28"/>
    <mergeCell ref="D29:D30"/>
    <mergeCell ref="D31:D32"/>
    <mergeCell ref="D33:D34"/>
    <mergeCell ref="D35:D36"/>
    <mergeCell ref="D37:D38"/>
    <mergeCell ref="D39:D40"/>
    <mergeCell ref="I25:I26"/>
    <mergeCell ref="I27:I28"/>
    <mergeCell ref="I29:I30"/>
    <mergeCell ref="I31:I32"/>
    <mergeCell ref="I33:I34"/>
    <mergeCell ref="I35:I36"/>
    <mergeCell ref="I37:I38"/>
    <mergeCell ref="I39:I40"/>
    <mergeCell ref="D45:G46"/>
    <mergeCell ref="H45:K46"/>
    <mergeCell ref="D47:G48"/>
    <mergeCell ref="H47:K48"/>
    <mergeCell ref="D49:G50"/>
    <mergeCell ref="H49:K50"/>
    <mergeCell ref="D51:G52"/>
    <mergeCell ref="H51:K52"/>
    <mergeCell ref="D53:G54"/>
    <mergeCell ref="H53:K54"/>
    <mergeCell ref="D55:G56"/>
    <mergeCell ref="H55:K56"/>
    <mergeCell ref="D57:G58"/>
    <mergeCell ref="H57:K58"/>
    <mergeCell ref="D59:G60"/>
    <mergeCell ref="H59:K60"/>
  </mergeCells>
  <conditionalFormatting sqref="E1:H22 E24:H42 G44:H44 E45:H1048576">
    <cfRule type="expression" dxfId="31" priority="25">
      <formula>$E1="【Cbhz】"</formula>
    </cfRule>
    <cfRule type="expression" dxfId="32" priority="24">
      <formula>$E1="【SSR】"</formula>
    </cfRule>
    <cfRule type="expression" dxfId="33" priority="23">
      <formula>$E1="【OldH】"</formula>
    </cfRule>
    <cfRule type="expression" dxfId="34" priority="22">
      <formula>$E1="【AWO】"</formula>
    </cfRule>
    <cfRule type="expression" dxfId="35" priority="21">
      <formula>$E1="【G2】"</formula>
    </cfRule>
    <cfRule type="expression" dxfId="36" priority="20">
      <formula>$E1="【TV】"</formula>
    </cfRule>
    <cfRule type="expression" dxfId="37" priority="19">
      <formula>$E1="【Miniworld】"</formula>
    </cfRule>
    <cfRule type="expression" dxfId="38" priority="18">
      <formula>$E1="【NikoFC】"</formula>
    </cfRule>
  </conditionalFormatting>
  <conditionalFormatting sqref="I1:I22 I24:I42 I44:I1048576">
    <cfRule type="cellIs" dxfId="39" priority="17" operator="equal">
      <formula>"均势"</formula>
    </cfRule>
    <cfRule type="cellIs" dxfId="19" priority="16" operator="equal">
      <formula>"【Cbhz】"</formula>
    </cfRule>
    <cfRule type="cellIs" dxfId="24" priority="15" operator="equal">
      <formula>"【SSR】"</formula>
    </cfRule>
    <cfRule type="cellIs" dxfId="18" priority="14" operator="equal">
      <formula>"【OldH】"</formula>
    </cfRule>
    <cfRule type="cellIs" dxfId="23" priority="13" operator="equal">
      <formula>"【AWO】"</formula>
    </cfRule>
    <cfRule type="cellIs" dxfId="25" priority="12" operator="equal">
      <formula>"【G2】"</formula>
    </cfRule>
    <cfRule type="cellIs" dxfId="21" priority="11" operator="equal">
      <formula>"【TV】"</formula>
    </cfRule>
    <cfRule type="cellIs" dxfId="20" priority="10" operator="equal">
      <formula>"【Miniworld】"</formula>
    </cfRule>
    <cfRule type="cellIs" dxfId="22" priority="9" operator="equal">
      <formula>"【NikoFC】"</formula>
    </cfRule>
  </conditionalFormatting>
  <conditionalFormatting sqref="J1:K22 J24:K42 J44:K1048576">
    <cfRule type="cellIs" dxfId="40" priority="30" operator="equal">
      <formula>"诺德 Nord"</formula>
    </cfRule>
    <cfRule type="cellIs" dxfId="41" priority="29" operator="equal">
      <formula>"罗多克 Rhodok"</formula>
    </cfRule>
    <cfRule type="cellIs" dxfId="42" priority="28" operator="equal">
      <formula>"斯瓦迪亚 Swadia"</formula>
    </cfRule>
    <cfRule type="cellIs" dxfId="43" priority="27" operator="equal">
      <formula>"维基亚 Veagir"</formula>
    </cfRule>
    <cfRule type="cellIs" dxfId="44" priority="26" operator="equal">
      <formula>"萨兰德 Sarranid"</formula>
    </cfRule>
  </conditionalFormatting>
  <conditionalFormatting sqref="L$1:Z$1048576">
    <cfRule type="expression" dxfId="45" priority="8">
      <formula>$E1="【Cbhz】"</formula>
    </cfRule>
    <cfRule type="expression" dxfId="46" priority="7">
      <formula>$E1="【SSR】"</formula>
    </cfRule>
    <cfRule type="expression" dxfId="47" priority="6">
      <formula>$E1="【OldH】"</formula>
    </cfRule>
    <cfRule type="expression" dxfId="48" priority="5">
      <formula>$E1="【AWO】"</formula>
    </cfRule>
    <cfRule type="expression" dxfId="49" priority="4">
      <formula>$E1="【G2】"</formula>
    </cfRule>
    <cfRule type="expression" dxfId="50" priority="3">
      <formula>$E1="【TV】"</formula>
    </cfRule>
    <cfRule type="expression" dxfId="51" priority="2">
      <formula>$E1="【Miniworld】"</formula>
    </cfRule>
    <cfRule type="expression" dxfId="52" priority="1">
      <formula>$E1="【NikoFC】"</formula>
    </cfRule>
  </conditionalFormatting>
  <dataValidations count="241">
    <dataValidation type="list" showInputMessage="1" showErrorMessage="1" sqref="L25">
      <formula1>'队伍总览 '!B4:B19</formula1>
    </dataValidation>
    <dataValidation type="list" showInputMessage="1" showErrorMessage="1" sqref="M25">
      <formula1>'队伍总览 '!B4:B19</formula1>
    </dataValidation>
    <dataValidation type="list" showInputMessage="1" showErrorMessage="1" sqref="N25">
      <formula1>'队伍总览 '!B4:B19</formula1>
    </dataValidation>
    <dataValidation type="list" showInputMessage="1" showErrorMessage="1" sqref="O25">
      <formula1>'队伍总览 '!B4:B19</formula1>
    </dataValidation>
    <dataValidation type="list" showInputMessage="1" showErrorMessage="1" sqref="P25">
      <formula1>'队伍总览 '!B4:B19</formula1>
    </dataValidation>
    <dataValidation type="list" showInputMessage="1" showErrorMessage="1" sqref="Q25">
      <formula1>'队伍总览 '!B4:B19</formula1>
    </dataValidation>
    <dataValidation type="list" showInputMessage="1" showErrorMessage="1" sqref="R25">
      <formula1>'队伍总览 '!B4:B19</formula1>
    </dataValidation>
    <dataValidation type="list" showInputMessage="1" showErrorMessage="1" sqref="S25">
      <formula1>'队伍总览 '!B4:B19</formula1>
    </dataValidation>
    <dataValidation type="list" showInputMessage="1" showErrorMessage="1" sqref="T25">
      <formula1>'队伍总览 '!B4:B19</formula1>
    </dataValidation>
    <dataValidation type="list" showInputMessage="1" showErrorMessage="1" sqref="U25">
      <formula1>'队伍总览 '!B4:B19</formula1>
    </dataValidation>
    <dataValidation type="list" showInputMessage="1" showErrorMessage="1" sqref="V25">
      <formula1>'队伍总览 '!B4:B19</formula1>
    </dataValidation>
    <dataValidation type="list" showInputMessage="1" showErrorMessage="1" sqref="W25">
      <formula1>'队伍总览 '!B4:B19</formula1>
    </dataValidation>
    <dataValidation type="list" showInputMessage="1" showErrorMessage="1" sqref="X25">
      <formula1>'队伍总览 '!B4:B19</formula1>
    </dataValidation>
    <dataValidation type="list" showInputMessage="1" showErrorMessage="1" sqref="Y25">
      <formula1>'队伍总览 '!B4:B19</formula1>
    </dataValidation>
    <dataValidation type="list" showInputMessage="1" showErrorMessage="1" sqref="Z25">
      <formula1>'队伍总览 '!B4:B19</formula1>
    </dataValidation>
    <dataValidation type="list" showInputMessage="1" showErrorMessage="1" sqref="L26">
      <formula1>'队伍总览 '!F4:F19</formula1>
    </dataValidation>
    <dataValidation type="list" showInputMessage="1" showErrorMessage="1" sqref="M26">
      <formula1>'队伍总览 '!F4:F19</formula1>
    </dataValidation>
    <dataValidation type="list" showInputMessage="1" showErrorMessage="1" sqref="N26">
      <formula1>'队伍总览 '!F4:F19</formula1>
    </dataValidation>
    <dataValidation type="list" showInputMessage="1" showErrorMessage="1" sqref="O26">
      <formula1>'队伍总览 '!F4:F19</formula1>
    </dataValidation>
    <dataValidation type="list" showInputMessage="1" showErrorMessage="1" sqref="P26">
      <formula1>'队伍总览 '!F4:F19</formula1>
    </dataValidation>
    <dataValidation type="list" showInputMessage="1" showErrorMessage="1" sqref="Q26">
      <formula1>'队伍总览 '!F4:F19</formula1>
    </dataValidation>
    <dataValidation type="list" showInputMessage="1" showErrorMessage="1" sqref="R26">
      <formula1>'队伍总览 '!F4:F19</formula1>
    </dataValidation>
    <dataValidation type="list" showInputMessage="1" showErrorMessage="1" sqref="S26">
      <formula1>'队伍总览 '!F4:F19</formula1>
    </dataValidation>
    <dataValidation type="list" showInputMessage="1" showErrorMessage="1" sqref="T26">
      <formula1>'队伍总览 '!F4:F19</formula1>
    </dataValidation>
    <dataValidation type="list" showInputMessage="1" showErrorMessage="1" sqref="U26">
      <formula1>'队伍总览 '!F4:F19</formula1>
    </dataValidation>
    <dataValidation type="list" showInputMessage="1" showErrorMessage="1" sqref="V26">
      <formula1>'队伍总览 '!F4:F19</formula1>
    </dataValidation>
    <dataValidation type="list" showInputMessage="1" showErrorMessage="1" sqref="W26">
      <formula1>'队伍总览 '!F4:F19</formula1>
    </dataValidation>
    <dataValidation type="list" showInputMessage="1" showErrorMessage="1" sqref="X26">
      <formula1>'队伍总览 '!F4:F19</formula1>
    </dataValidation>
    <dataValidation type="list" showInputMessage="1" showErrorMessage="1" sqref="Y26">
      <formula1>'队伍总览 '!F4:F19</formula1>
    </dataValidation>
    <dataValidation type="list" showInputMessage="1" showErrorMessage="1" sqref="Z26">
      <formula1>'队伍总览 '!F4:F19</formula1>
    </dataValidation>
    <dataValidation type="list" showInputMessage="1" showErrorMessage="1" sqref="L27">
      <formula1>'队伍总览 '!J4:J19</formula1>
    </dataValidation>
    <dataValidation type="list" showInputMessage="1" showErrorMessage="1" sqref="M27">
      <formula1>'队伍总览 '!J4:J19</formula1>
    </dataValidation>
    <dataValidation type="list" showInputMessage="1" showErrorMessage="1" sqref="N27">
      <formula1>'队伍总览 '!J4:J19</formula1>
    </dataValidation>
    <dataValidation type="list" showInputMessage="1" showErrorMessage="1" sqref="O27">
      <formula1>'队伍总览 '!J4:J19</formula1>
    </dataValidation>
    <dataValidation type="list" showInputMessage="1" showErrorMessage="1" sqref="P27">
      <formula1>'队伍总览 '!J4:J19</formula1>
    </dataValidation>
    <dataValidation type="list" showInputMessage="1" showErrorMessage="1" sqref="Q27">
      <formula1>'队伍总览 '!J4:J19</formula1>
    </dataValidation>
    <dataValidation type="list" showInputMessage="1" showErrorMessage="1" sqref="R27">
      <formula1>'队伍总览 '!J4:J19</formula1>
    </dataValidation>
    <dataValidation type="list" showInputMessage="1" showErrorMessage="1" sqref="S27">
      <formula1>'队伍总览 '!J4:J19</formula1>
    </dataValidation>
    <dataValidation type="list" showInputMessage="1" showErrorMessage="1" sqref="T27">
      <formula1>'队伍总览 '!J4:J19</formula1>
    </dataValidation>
    <dataValidation type="list" showInputMessage="1" showErrorMessage="1" sqref="U27">
      <formula1>'队伍总览 '!J4:J19</formula1>
    </dataValidation>
    <dataValidation type="list" showInputMessage="1" showErrorMessage="1" sqref="V27">
      <formula1>'队伍总览 '!J4:J19</formula1>
    </dataValidation>
    <dataValidation type="list" showInputMessage="1" showErrorMessage="1" sqref="W27">
      <formula1>'队伍总览 '!J4:J19</formula1>
    </dataValidation>
    <dataValidation type="list" showInputMessage="1" showErrorMessage="1" sqref="X27">
      <formula1>'队伍总览 '!J4:J19</formula1>
    </dataValidation>
    <dataValidation type="list" showInputMessage="1" showErrorMessage="1" sqref="Y27">
      <formula1>'队伍总览 '!J4:J19</formula1>
    </dataValidation>
    <dataValidation type="list" showInputMessage="1" showErrorMessage="1" sqref="Z27">
      <formula1>'队伍总览 '!J4:J19</formula1>
    </dataValidation>
    <dataValidation type="list" showInputMessage="1" showErrorMessage="1" sqref="L28">
      <formula1>'队伍总览 '!N4:N19</formula1>
    </dataValidation>
    <dataValidation type="list" showInputMessage="1" showErrorMessage="1" sqref="M28">
      <formula1>'队伍总览 '!N4:N19</formula1>
    </dataValidation>
    <dataValidation type="list" showInputMessage="1" showErrorMessage="1" sqref="N28">
      <formula1>'队伍总览 '!N4:N19</formula1>
    </dataValidation>
    <dataValidation type="list" showInputMessage="1" showErrorMessage="1" sqref="O28">
      <formula1>'队伍总览 '!N4:N19</formula1>
    </dataValidation>
    <dataValidation type="list" showInputMessage="1" showErrorMessage="1" sqref="P28">
      <formula1>'队伍总览 '!N4:N19</formula1>
    </dataValidation>
    <dataValidation type="list" showInputMessage="1" showErrorMessage="1" sqref="Q28">
      <formula1>'队伍总览 '!N4:N19</formula1>
    </dataValidation>
    <dataValidation type="list" showInputMessage="1" showErrorMessage="1" sqref="R28">
      <formula1>'队伍总览 '!N4:N19</formula1>
    </dataValidation>
    <dataValidation type="list" showInputMessage="1" showErrorMessage="1" sqref="S28">
      <formula1>'队伍总览 '!N4:N19</formula1>
    </dataValidation>
    <dataValidation type="list" showInputMessage="1" showErrorMessage="1" sqref="T28">
      <formula1>'队伍总览 '!N4:N19</formula1>
    </dataValidation>
    <dataValidation type="list" showInputMessage="1" showErrorMessage="1" sqref="U28">
      <formula1>'队伍总览 '!N4:N19</formula1>
    </dataValidation>
    <dataValidation type="list" showInputMessage="1" showErrorMessage="1" sqref="V28">
      <formula1>'队伍总览 '!N4:N19</formula1>
    </dataValidation>
    <dataValidation type="list" showInputMessage="1" showErrorMessage="1" sqref="W28">
      <formula1>'队伍总览 '!N4:N19</formula1>
    </dataValidation>
    <dataValidation type="list" showInputMessage="1" showErrorMessage="1" sqref="X28">
      <formula1>'队伍总览 '!N4:N19</formula1>
    </dataValidation>
    <dataValidation type="list" showInputMessage="1" showErrorMessage="1" sqref="Y28">
      <formula1>'队伍总览 '!N4:N19</formula1>
    </dataValidation>
    <dataValidation type="list" showInputMessage="1" showErrorMessage="1" sqref="Z28">
      <formula1>'队伍总览 '!N4:N19</formula1>
    </dataValidation>
    <dataValidation type="list" showInputMessage="1" showErrorMessage="1" sqref="L29">
      <formula1>'队伍总览 '!B36:B51</formula1>
    </dataValidation>
    <dataValidation type="list" showInputMessage="1" showErrorMessage="1" sqref="M29">
      <formula1>'队伍总览 '!B36:B51</formula1>
    </dataValidation>
    <dataValidation type="list" showInputMessage="1" showErrorMessage="1" sqref="N29">
      <formula1>'队伍总览 '!B36:B51</formula1>
    </dataValidation>
    <dataValidation type="list" showInputMessage="1" showErrorMessage="1" sqref="O29">
      <formula1>'队伍总览 '!B36:B51</formula1>
    </dataValidation>
    <dataValidation type="list" showInputMessage="1" showErrorMessage="1" sqref="P29">
      <formula1>'队伍总览 '!B36:B51</formula1>
    </dataValidation>
    <dataValidation type="list" showInputMessage="1" showErrorMessage="1" sqref="Q29">
      <formula1>'队伍总览 '!B36:B51</formula1>
    </dataValidation>
    <dataValidation type="list" showInputMessage="1" showErrorMessage="1" sqref="R29">
      <formula1>'队伍总览 '!B36:B51</formula1>
    </dataValidation>
    <dataValidation type="list" showInputMessage="1" showErrorMessage="1" sqref="S29">
      <formula1>'队伍总览 '!B36:B51</formula1>
    </dataValidation>
    <dataValidation type="list" showInputMessage="1" showErrorMessage="1" sqref="T29">
      <formula1>'队伍总览 '!B36:B51</formula1>
    </dataValidation>
    <dataValidation type="list" showInputMessage="1" showErrorMessage="1" sqref="U29">
      <formula1>'队伍总览 '!B36:B51</formula1>
    </dataValidation>
    <dataValidation type="list" showInputMessage="1" showErrorMessage="1" sqref="V29">
      <formula1>'队伍总览 '!B36:B51</formula1>
    </dataValidation>
    <dataValidation type="list" showInputMessage="1" showErrorMessage="1" sqref="W29">
      <formula1>'队伍总览 '!B36:B51</formula1>
    </dataValidation>
    <dataValidation type="list" showInputMessage="1" showErrorMessage="1" sqref="X29">
      <formula1>'队伍总览 '!B36:B51</formula1>
    </dataValidation>
    <dataValidation type="list" showInputMessage="1" showErrorMessage="1" sqref="Y29">
      <formula1>'队伍总览 '!B36:B51</formula1>
    </dataValidation>
    <dataValidation type="list" showInputMessage="1" showErrorMessage="1" sqref="Z29">
      <formula1>'队伍总览 '!B36:B51</formula1>
    </dataValidation>
    <dataValidation type="list" showInputMessage="1" showErrorMessage="1" sqref="L30">
      <formula1>'队伍总览 '!F36:F51</formula1>
    </dataValidation>
    <dataValidation type="list" showInputMessage="1" showErrorMessage="1" sqref="M30">
      <formula1>'队伍总览 '!F36:F51</formula1>
    </dataValidation>
    <dataValidation type="list" showInputMessage="1" showErrorMessage="1" sqref="N30">
      <formula1>'队伍总览 '!F36:F51</formula1>
    </dataValidation>
    <dataValidation type="list" showInputMessage="1" showErrorMessage="1" sqref="O30">
      <formula1>'队伍总览 '!F36:F51</formula1>
    </dataValidation>
    <dataValidation type="list" showInputMessage="1" showErrorMessage="1" sqref="P30">
      <formula1>'队伍总览 '!F36:F51</formula1>
    </dataValidation>
    <dataValidation type="list" showInputMessage="1" showErrorMessage="1" sqref="Q30">
      <formula1>'队伍总览 '!F36:F51</formula1>
    </dataValidation>
    <dataValidation type="list" showInputMessage="1" showErrorMessage="1" sqref="R30">
      <formula1>'队伍总览 '!F36:F51</formula1>
    </dataValidation>
    <dataValidation type="list" showInputMessage="1" showErrorMessage="1" sqref="S30">
      <formula1>'队伍总览 '!F36:F51</formula1>
    </dataValidation>
    <dataValidation type="list" showInputMessage="1" showErrorMessage="1" sqref="T30">
      <formula1>'队伍总览 '!F36:F51</formula1>
    </dataValidation>
    <dataValidation type="list" showInputMessage="1" showErrorMessage="1" sqref="U30">
      <formula1>'队伍总览 '!F36:F51</formula1>
    </dataValidation>
    <dataValidation type="list" showInputMessage="1" showErrorMessage="1" sqref="V30">
      <formula1>'队伍总览 '!F36:F51</formula1>
    </dataValidation>
    <dataValidation type="list" showInputMessage="1" showErrorMessage="1" sqref="W30">
      <formula1>'队伍总览 '!F36:F51</formula1>
    </dataValidation>
    <dataValidation type="list" showInputMessage="1" showErrorMessage="1" sqref="X30">
      <formula1>'队伍总览 '!F36:F51</formula1>
    </dataValidation>
    <dataValidation type="list" showInputMessage="1" showErrorMessage="1" sqref="Y30">
      <formula1>'队伍总览 '!F36:F51</formula1>
    </dataValidation>
    <dataValidation type="list" showInputMessage="1" showErrorMessage="1" sqref="Z30">
      <formula1>'队伍总览 '!F36:F51</formula1>
    </dataValidation>
    <dataValidation type="list" showInputMessage="1" showErrorMessage="1" sqref="L31">
      <formula1>'队伍总览 '!J36:J51</formula1>
    </dataValidation>
    <dataValidation type="list" showInputMessage="1" showErrorMessage="1" sqref="M31">
      <formula1>'队伍总览 '!J36:J51</formula1>
    </dataValidation>
    <dataValidation type="list" showInputMessage="1" showErrorMessage="1" sqref="N31">
      <formula1>'队伍总览 '!J36:J51</formula1>
    </dataValidation>
    <dataValidation type="list" showInputMessage="1" showErrorMessage="1" sqref="O31">
      <formula1>'队伍总览 '!J36:J51</formula1>
    </dataValidation>
    <dataValidation type="list" showInputMessage="1" showErrorMessage="1" sqref="P31">
      <formula1>'队伍总览 '!J36:J51</formula1>
    </dataValidation>
    <dataValidation type="list" showInputMessage="1" showErrorMessage="1" sqref="Q31">
      <formula1>'队伍总览 '!J36:J51</formula1>
    </dataValidation>
    <dataValidation type="list" showInputMessage="1" showErrorMessage="1" sqref="R31">
      <formula1>'队伍总览 '!J36:J51</formula1>
    </dataValidation>
    <dataValidation type="list" showInputMessage="1" showErrorMessage="1" sqref="S31">
      <formula1>'队伍总览 '!J36:J51</formula1>
    </dataValidation>
    <dataValidation type="list" showInputMessage="1" showErrorMessage="1" sqref="T31">
      <formula1>'队伍总览 '!J36:J51</formula1>
    </dataValidation>
    <dataValidation type="list" showInputMessage="1" showErrorMessage="1" sqref="U31">
      <formula1>'队伍总览 '!J36:J51</formula1>
    </dataValidation>
    <dataValidation type="list" showInputMessage="1" showErrorMessage="1" sqref="V31">
      <formula1>'队伍总览 '!J36:J51</formula1>
    </dataValidation>
    <dataValidation type="list" showInputMessage="1" showErrorMessage="1" sqref="W31">
      <formula1>'队伍总览 '!J36:J51</formula1>
    </dataValidation>
    <dataValidation type="list" showInputMessage="1" showErrorMessage="1" sqref="X31">
      <formula1>'队伍总览 '!J36:J51</formula1>
    </dataValidation>
    <dataValidation type="list" showInputMessage="1" showErrorMessage="1" sqref="Y31">
      <formula1>'队伍总览 '!J36:J51</formula1>
    </dataValidation>
    <dataValidation type="list" showInputMessage="1" showErrorMessage="1" sqref="Z31">
      <formula1>'队伍总览 '!J36:J51</formula1>
    </dataValidation>
    <dataValidation type="list" showInputMessage="1" showErrorMessage="1" sqref="L32">
      <formula1>'队伍总览 '!N36:N51</formula1>
    </dataValidation>
    <dataValidation type="list" showInputMessage="1" showErrorMessage="1" sqref="M32">
      <formula1>'队伍总览 '!N36:N51</formula1>
    </dataValidation>
    <dataValidation type="list" showInputMessage="1" showErrorMessage="1" sqref="N32">
      <formula1>'队伍总览 '!N36:N51</formula1>
    </dataValidation>
    <dataValidation type="list" showInputMessage="1" showErrorMessage="1" sqref="O32">
      <formula1>'队伍总览 '!N36:N51</formula1>
    </dataValidation>
    <dataValidation type="list" showInputMessage="1" showErrorMessage="1" sqref="P32">
      <formula1>'队伍总览 '!N36:N51</formula1>
    </dataValidation>
    <dataValidation type="list" showInputMessage="1" showErrorMessage="1" sqref="Q32">
      <formula1>'队伍总览 '!N36:N51</formula1>
    </dataValidation>
    <dataValidation type="list" showInputMessage="1" showErrorMessage="1" sqref="R32">
      <formula1>'队伍总览 '!N36:N51</formula1>
    </dataValidation>
    <dataValidation type="list" showInputMessage="1" showErrorMessage="1" sqref="S32">
      <formula1>'队伍总览 '!N36:N51</formula1>
    </dataValidation>
    <dataValidation type="list" showInputMessage="1" showErrorMessage="1" sqref="T32">
      <formula1>'队伍总览 '!N36:N51</formula1>
    </dataValidation>
    <dataValidation type="list" showInputMessage="1" showErrorMessage="1" sqref="U32">
      <formula1>'队伍总览 '!N36:N51</formula1>
    </dataValidation>
    <dataValidation type="list" showInputMessage="1" showErrorMessage="1" sqref="V32">
      <formula1>'队伍总览 '!N36:N51</formula1>
    </dataValidation>
    <dataValidation type="list" showInputMessage="1" showErrorMessage="1" sqref="W32">
      <formula1>'队伍总览 '!N36:N51</formula1>
    </dataValidation>
    <dataValidation type="list" showInputMessage="1" showErrorMessage="1" sqref="X32">
      <formula1>'队伍总览 '!N36:N51</formula1>
    </dataValidation>
    <dataValidation type="list" showInputMessage="1" showErrorMessage="1" sqref="Y32">
      <formula1>'队伍总览 '!N36:N51</formula1>
    </dataValidation>
    <dataValidation type="list" showInputMessage="1" showErrorMessage="1" sqref="Z32">
      <formula1>'队伍总览 '!N36:N51</formula1>
    </dataValidation>
    <dataValidation type="list" showInputMessage="1" showErrorMessage="1" sqref="L33">
      <formula1>'队伍总览 '!B4:B19</formula1>
    </dataValidation>
    <dataValidation type="list" showInputMessage="1" showErrorMessage="1" sqref="M33">
      <formula1>'队伍总览 '!B4:B19</formula1>
    </dataValidation>
    <dataValidation type="list" showInputMessage="1" showErrorMessage="1" sqref="N33">
      <formula1>'队伍总览 '!B4:B19</formula1>
    </dataValidation>
    <dataValidation type="list" showInputMessage="1" showErrorMessage="1" sqref="O33">
      <formula1>'队伍总览 '!B4:B19</formula1>
    </dataValidation>
    <dataValidation type="list" showInputMessage="1" showErrorMessage="1" sqref="P33">
      <formula1>'队伍总览 '!B4:B19</formula1>
    </dataValidation>
    <dataValidation type="list" showInputMessage="1" showErrorMessage="1" sqref="Q33">
      <formula1>'队伍总览 '!B4:B19</formula1>
    </dataValidation>
    <dataValidation type="list" showInputMessage="1" showErrorMessage="1" sqref="R33">
      <formula1>'队伍总览 '!B4:B19</formula1>
    </dataValidation>
    <dataValidation type="list" showInputMessage="1" showErrorMessage="1" sqref="S33">
      <formula1>'队伍总览 '!B4:B19</formula1>
    </dataValidation>
    <dataValidation type="list" showInputMessage="1" showErrorMessage="1" sqref="T33">
      <formula1>'队伍总览 '!B4:B19</formula1>
    </dataValidation>
    <dataValidation type="list" showInputMessage="1" showErrorMessage="1" sqref="U33">
      <formula1>'队伍总览 '!B4:B19</formula1>
    </dataValidation>
    <dataValidation type="list" showInputMessage="1" showErrorMessage="1" sqref="V33">
      <formula1>'队伍总览 '!B4:B19</formula1>
    </dataValidation>
    <dataValidation type="list" showInputMessage="1" showErrorMessage="1" sqref="W33">
      <formula1>'队伍总览 '!B4:B19</formula1>
    </dataValidation>
    <dataValidation type="list" showInputMessage="1" showErrorMessage="1" sqref="X33">
      <formula1>'队伍总览 '!B4:B19</formula1>
    </dataValidation>
    <dataValidation type="list" showInputMessage="1" showErrorMessage="1" sqref="Y33">
      <formula1>'队伍总览 '!B4:B19</formula1>
    </dataValidation>
    <dataValidation type="list" showInputMessage="1" showErrorMessage="1" sqref="Z33">
      <formula1>'队伍总览 '!B4:B19</formula1>
    </dataValidation>
    <dataValidation type="list" showInputMessage="1" showErrorMessage="1" sqref="L34">
      <formula1>'队伍总览 '!F4:F19</formula1>
    </dataValidation>
    <dataValidation type="list" showInputMessage="1" showErrorMessage="1" sqref="M34">
      <formula1>'队伍总览 '!F4:F19</formula1>
    </dataValidation>
    <dataValidation type="list" showInputMessage="1" showErrorMessage="1" sqref="N34">
      <formula1>'队伍总览 '!F4:F19</formula1>
    </dataValidation>
    <dataValidation type="list" showInputMessage="1" showErrorMessage="1" sqref="O34">
      <formula1>'队伍总览 '!F4:F19</formula1>
    </dataValidation>
    <dataValidation type="list" showInputMessage="1" showErrorMessage="1" sqref="P34">
      <formula1>'队伍总览 '!F4:F19</formula1>
    </dataValidation>
    <dataValidation type="list" showInputMessage="1" showErrorMessage="1" sqref="Q34">
      <formula1>'队伍总览 '!F4:F19</formula1>
    </dataValidation>
    <dataValidation type="list" showInputMessage="1" showErrorMessage="1" sqref="R34">
      <formula1>'队伍总览 '!F4:F19</formula1>
    </dataValidation>
    <dataValidation type="list" showInputMessage="1" showErrorMessage="1" sqref="S34">
      <formula1>'队伍总览 '!F4:F19</formula1>
    </dataValidation>
    <dataValidation type="list" showInputMessage="1" showErrorMessage="1" sqref="T34">
      <formula1>'队伍总览 '!F4:F19</formula1>
    </dataValidation>
    <dataValidation type="list" showInputMessage="1" showErrorMessage="1" sqref="U34">
      <formula1>'队伍总览 '!F4:F19</formula1>
    </dataValidation>
    <dataValidation type="list" showInputMessage="1" showErrorMessage="1" sqref="V34">
      <formula1>'队伍总览 '!F4:F19</formula1>
    </dataValidation>
    <dataValidation type="list" showInputMessage="1" showErrorMessage="1" sqref="W34">
      <formula1>'队伍总览 '!F4:F19</formula1>
    </dataValidation>
    <dataValidation type="list" showInputMessage="1" showErrorMessage="1" sqref="X34">
      <formula1>'队伍总览 '!F4:F19</formula1>
    </dataValidation>
    <dataValidation type="list" showInputMessage="1" showErrorMessage="1" sqref="Y34">
      <formula1>'队伍总览 '!F4:F19</formula1>
    </dataValidation>
    <dataValidation type="list" showInputMessage="1" showErrorMessage="1" sqref="Z34">
      <formula1>'队伍总览 '!F4:F19</formula1>
    </dataValidation>
    <dataValidation type="list" showInputMessage="1" showErrorMessage="1" sqref="L35">
      <formula1>'队伍总览 '!J4:J19</formula1>
    </dataValidation>
    <dataValidation type="list" showInputMessage="1" showErrorMessage="1" sqref="M35">
      <formula1>'队伍总览 '!J4:J19</formula1>
    </dataValidation>
    <dataValidation type="list" showInputMessage="1" showErrorMessage="1" sqref="N35">
      <formula1>'队伍总览 '!J4:J19</formula1>
    </dataValidation>
    <dataValidation type="list" showInputMessage="1" showErrorMessage="1" sqref="O35">
      <formula1>'队伍总览 '!J4:J19</formula1>
    </dataValidation>
    <dataValidation type="list" showInputMessage="1" showErrorMessage="1" sqref="P35">
      <formula1>'队伍总览 '!J4:J19</formula1>
    </dataValidation>
    <dataValidation type="list" showInputMessage="1" showErrorMessage="1" sqref="Q35">
      <formula1>'队伍总览 '!J4:J19</formula1>
    </dataValidation>
    <dataValidation type="list" showInputMessage="1" showErrorMessage="1" sqref="R35">
      <formula1>'队伍总览 '!J4:J19</formula1>
    </dataValidation>
    <dataValidation type="list" showInputMessage="1" showErrorMessage="1" sqref="S35">
      <formula1>'队伍总览 '!J4:J19</formula1>
    </dataValidation>
    <dataValidation type="list" showInputMessage="1" showErrorMessage="1" sqref="T35">
      <formula1>'队伍总览 '!J4:J19</formula1>
    </dataValidation>
    <dataValidation type="list" showInputMessage="1" showErrorMessage="1" sqref="U35">
      <formula1>'队伍总览 '!J4:J19</formula1>
    </dataValidation>
    <dataValidation type="list" showInputMessage="1" showErrorMessage="1" sqref="V35">
      <formula1>'队伍总览 '!J4:J19</formula1>
    </dataValidation>
    <dataValidation type="list" showInputMessage="1" showErrorMessage="1" sqref="W35">
      <formula1>'队伍总览 '!J4:J19</formula1>
    </dataValidation>
    <dataValidation type="list" showInputMessage="1" showErrorMessage="1" sqref="X35">
      <formula1>'队伍总览 '!J4:J19</formula1>
    </dataValidation>
    <dataValidation type="list" showInputMessage="1" showErrorMessage="1" sqref="Y35">
      <formula1>'队伍总览 '!J4:J19</formula1>
    </dataValidation>
    <dataValidation type="list" showInputMessage="1" showErrorMessage="1" sqref="Z35">
      <formula1>'队伍总览 '!J4:J19</formula1>
    </dataValidation>
    <dataValidation type="list" showInputMessage="1" showErrorMessage="1" sqref="L36">
      <formula1>'队伍总览 '!N4:N19</formula1>
    </dataValidation>
    <dataValidation type="list" showInputMessage="1" showErrorMessage="1" sqref="M36">
      <formula1>'队伍总览 '!N4:N19</formula1>
    </dataValidation>
    <dataValidation type="list" showInputMessage="1" showErrorMessage="1" sqref="N36">
      <formula1>'队伍总览 '!N4:N19</formula1>
    </dataValidation>
    <dataValidation type="list" showInputMessage="1" showErrorMessage="1" sqref="O36">
      <formula1>'队伍总览 '!N4:N19</formula1>
    </dataValidation>
    <dataValidation type="list" showInputMessage="1" showErrorMessage="1" sqref="P36">
      <formula1>'队伍总览 '!N4:N19</formula1>
    </dataValidation>
    <dataValidation type="list" showInputMessage="1" showErrorMessage="1" sqref="Q36">
      <formula1>'队伍总览 '!N4:N19</formula1>
    </dataValidation>
    <dataValidation type="list" showInputMessage="1" showErrorMessage="1" sqref="R36">
      <formula1>'队伍总览 '!N4:N19</formula1>
    </dataValidation>
    <dataValidation type="list" showInputMessage="1" showErrorMessage="1" sqref="S36">
      <formula1>'队伍总览 '!N4:N19</formula1>
    </dataValidation>
    <dataValidation type="list" showInputMessage="1" showErrorMessage="1" sqref="T36">
      <formula1>'队伍总览 '!N4:N19</formula1>
    </dataValidation>
    <dataValidation type="list" showInputMessage="1" showErrorMessage="1" sqref="U36">
      <formula1>'队伍总览 '!N4:N19</formula1>
    </dataValidation>
    <dataValidation type="list" showInputMessage="1" showErrorMessage="1" sqref="V36">
      <formula1>'队伍总览 '!N4:N19</formula1>
    </dataValidation>
    <dataValidation type="list" showInputMessage="1" showErrorMessage="1" sqref="W36">
      <formula1>'队伍总览 '!N4:N19</formula1>
    </dataValidation>
    <dataValidation type="list" showInputMessage="1" showErrorMessage="1" sqref="X36">
      <formula1>'队伍总览 '!N4:N19</formula1>
    </dataValidation>
    <dataValidation type="list" showInputMessage="1" showErrorMessage="1" sqref="Y36">
      <formula1>'队伍总览 '!N4:N19</formula1>
    </dataValidation>
    <dataValidation type="list" showInputMessage="1" showErrorMessage="1" sqref="Z36">
      <formula1>'队伍总览 '!N4:N19</formula1>
    </dataValidation>
    <dataValidation type="list" showInputMessage="1" showErrorMessage="1" sqref="L37">
      <formula1>'队伍总览 '!B36:B51</formula1>
    </dataValidation>
    <dataValidation type="list" showInputMessage="1" showErrorMessage="1" sqref="M37">
      <formula1>'队伍总览 '!B36:B51</formula1>
    </dataValidation>
    <dataValidation type="list" showInputMessage="1" showErrorMessage="1" sqref="N37">
      <formula1>'队伍总览 '!B36:B51</formula1>
    </dataValidation>
    <dataValidation type="list" showInputMessage="1" showErrorMessage="1" sqref="O37">
      <formula1>'队伍总览 '!B36:B51</formula1>
    </dataValidation>
    <dataValidation type="list" showInputMessage="1" showErrorMessage="1" sqref="P37">
      <formula1>'队伍总览 '!B36:B51</formula1>
    </dataValidation>
    <dataValidation type="list" showInputMessage="1" showErrorMessage="1" sqref="Q37">
      <formula1>'队伍总览 '!B36:B51</formula1>
    </dataValidation>
    <dataValidation type="list" showInputMessage="1" showErrorMessage="1" sqref="R37">
      <formula1>'队伍总览 '!B36:B51</formula1>
    </dataValidation>
    <dataValidation type="list" showInputMessage="1" showErrorMessage="1" sqref="S37">
      <formula1>'队伍总览 '!B36:B51</formula1>
    </dataValidation>
    <dataValidation type="list" showInputMessage="1" showErrorMessage="1" sqref="T37">
      <formula1>'队伍总览 '!B36:B51</formula1>
    </dataValidation>
    <dataValidation type="list" showInputMessage="1" showErrorMessage="1" sqref="U37">
      <formula1>'队伍总览 '!B36:B51</formula1>
    </dataValidation>
    <dataValidation type="list" showInputMessage="1" showErrorMessage="1" sqref="V37">
      <formula1>'队伍总览 '!B36:B51</formula1>
    </dataValidation>
    <dataValidation type="list" showInputMessage="1" showErrorMessage="1" sqref="W37">
      <formula1>'队伍总览 '!B36:B51</formula1>
    </dataValidation>
    <dataValidation type="list" showInputMessage="1" showErrorMessage="1" sqref="X37">
      <formula1>'队伍总览 '!B36:B51</formula1>
    </dataValidation>
    <dataValidation type="list" showInputMessage="1" showErrorMessage="1" sqref="Y37">
      <formula1>'队伍总览 '!B36:B51</formula1>
    </dataValidation>
    <dataValidation type="list" showInputMessage="1" showErrorMessage="1" sqref="Z37">
      <formula1>'队伍总览 '!B36:B51</formula1>
    </dataValidation>
    <dataValidation type="list" showInputMessage="1" showErrorMessage="1" sqref="L38">
      <formula1>'队伍总览 '!F36:F51</formula1>
    </dataValidation>
    <dataValidation type="list" showInputMessage="1" showErrorMessage="1" sqref="M38">
      <formula1>'队伍总览 '!F36:F51</formula1>
    </dataValidation>
    <dataValidation type="list" showInputMessage="1" showErrorMessage="1" sqref="N38">
      <formula1>'队伍总览 '!F36:F51</formula1>
    </dataValidation>
    <dataValidation type="list" showInputMessage="1" showErrorMessage="1" sqref="O38">
      <formula1>'队伍总览 '!F36:F51</formula1>
    </dataValidation>
    <dataValidation type="list" showInputMessage="1" showErrorMessage="1" sqref="P38">
      <formula1>'队伍总览 '!F36:F51</formula1>
    </dataValidation>
    <dataValidation type="list" showInputMessage="1" showErrorMessage="1" sqref="Q38">
      <formula1>'队伍总览 '!F36:F51</formula1>
    </dataValidation>
    <dataValidation type="list" showInputMessage="1" showErrorMessage="1" sqref="R38">
      <formula1>'队伍总览 '!F36:F51</formula1>
    </dataValidation>
    <dataValidation type="list" showInputMessage="1" showErrorMessage="1" sqref="S38">
      <formula1>'队伍总览 '!F36:F51</formula1>
    </dataValidation>
    <dataValidation type="list" showInputMessage="1" showErrorMessage="1" sqref="T38">
      <formula1>'队伍总览 '!F36:F51</formula1>
    </dataValidation>
    <dataValidation type="list" showInputMessage="1" showErrorMessage="1" sqref="U38">
      <formula1>'队伍总览 '!F36:F51</formula1>
    </dataValidation>
    <dataValidation type="list" showInputMessage="1" showErrorMessage="1" sqref="V38">
      <formula1>'队伍总览 '!F36:F51</formula1>
    </dataValidation>
    <dataValidation type="list" showInputMessage="1" showErrorMessage="1" sqref="W38">
      <formula1>'队伍总览 '!F36:F51</formula1>
    </dataValidation>
    <dataValidation type="list" showInputMessage="1" showErrorMessage="1" sqref="X38">
      <formula1>'队伍总览 '!F36:F51</formula1>
    </dataValidation>
    <dataValidation type="list" showInputMessage="1" showErrorMessage="1" sqref="Y38">
      <formula1>'队伍总览 '!F36:F51</formula1>
    </dataValidation>
    <dataValidation type="list" showInputMessage="1" showErrorMessage="1" sqref="Z38">
      <formula1>'队伍总览 '!F36:F51</formula1>
    </dataValidation>
    <dataValidation type="list" showInputMessage="1" showErrorMessage="1" sqref="L39">
      <formula1>'队伍总览 '!J36:J51</formula1>
    </dataValidation>
    <dataValidation type="list" showInputMessage="1" showErrorMessage="1" sqref="M39">
      <formula1>'队伍总览 '!J36:J51</formula1>
    </dataValidation>
    <dataValidation type="list" showInputMessage="1" showErrorMessage="1" sqref="N39">
      <formula1>'队伍总览 '!J36:J51</formula1>
    </dataValidation>
    <dataValidation type="list" showInputMessage="1" showErrorMessage="1" sqref="O39">
      <formula1>'队伍总览 '!J36:J51</formula1>
    </dataValidation>
    <dataValidation type="list" showInputMessage="1" showErrorMessage="1" sqref="P39">
      <formula1>'队伍总览 '!J36:J51</formula1>
    </dataValidation>
    <dataValidation type="list" showInputMessage="1" showErrorMessage="1" sqref="Q39">
      <formula1>'队伍总览 '!J36:J51</formula1>
    </dataValidation>
    <dataValidation type="list" showInputMessage="1" showErrorMessage="1" sqref="R39">
      <formula1>'队伍总览 '!J36:J51</formula1>
    </dataValidation>
    <dataValidation type="list" showInputMessage="1" showErrorMessage="1" sqref="S39">
      <formula1>'队伍总览 '!J36:J51</formula1>
    </dataValidation>
    <dataValidation type="list" showInputMessage="1" showErrorMessage="1" sqref="T39">
      <formula1>'队伍总览 '!J36:J51</formula1>
    </dataValidation>
    <dataValidation type="list" showInputMessage="1" showErrorMessage="1" sqref="U39">
      <formula1>'队伍总览 '!J36:J51</formula1>
    </dataValidation>
    <dataValidation type="list" showInputMessage="1" showErrorMessage="1" sqref="V39">
      <formula1>'队伍总览 '!J36:J51</formula1>
    </dataValidation>
    <dataValidation type="list" showInputMessage="1" showErrorMessage="1" sqref="W39">
      <formula1>'队伍总览 '!J36:J51</formula1>
    </dataValidation>
    <dataValidation type="list" showInputMessage="1" showErrorMessage="1" sqref="X39">
      <formula1>'队伍总览 '!J36:J51</formula1>
    </dataValidation>
    <dataValidation type="list" showInputMessage="1" showErrorMessage="1" sqref="Y39">
      <formula1>'队伍总览 '!J36:J51</formula1>
    </dataValidation>
    <dataValidation type="list" showInputMessage="1" showErrorMessage="1" sqref="Z39">
      <formula1>'队伍总览 '!J36:J51</formula1>
    </dataValidation>
    <dataValidation type="list" showInputMessage="1" showErrorMessage="1" sqref="L40">
      <formula1>'队伍总览 '!N36:N51</formula1>
    </dataValidation>
    <dataValidation type="list" showInputMessage="1" showErrorMessage="1" sqref="M40">
      <formula1>'队伍总览 '!N36:N51</formula1>
    </dataValidation>
    <dataValidation type="list" showInputMessage="1" showErrorMessage="1" sqref="N40">
      <formula1>'队伍总览 '!N36:N51</formula1>
    </dataValidation>
    <dataValidation type="list" showInputMessage="1" showErrorMessage="1" sqref="O40">
      <formula1>'队伍总览 '!N36:N51</formula1>
    </dataValidation>
    <dataValidation type="list" showInputMessage="1" showErrorMessage="1" sqref="P40">
      <formula1>'队伍总览 '!N36:N51</formula1>
    </dataValidation>
    <dataValidation type="list" showInputMessage="1" showErrorMessage="1" sqref="Q40">
      <formula1>'队伍总览 '!N36:N51</formula1>
    </dataValidation>
    <dataValidation type="list" showInputMessage="1" showErrorMessage="1" sqref="R40">
      <formula1>'队伍总览 '!N36:N51</formula1>
    </dataValidation>
    <dataValidation type="list" showInputMessage="1" showErrorMessage="1" sqref="S40">
      <formula1>'队伍总览 '!N36:N51</formula1>
    </dataValidation>
    <dataValidation type="list" showInputMessage="1" showErrorMessage="1" sqref="T40">
      <formula1>'队伍总览 '!N36:N51</formula1>
    </dataValidation>
    <dataValidation type="list" showInputMessage="1" showErrorMessage="1" sqref="U40">
      <formula1>'队伍总览 '!N36:N51</formula1>
    </dataValidation>
    <dataValidation type="list" showInputMessage="1" showErrorMessage="1" sqref="V40">
      <formula1>'队伍总览 '!N36:N51</formula1>
    </dataValidation>
    <dataValidation type="list" showInputMessage="1" showErrorMessage="1" sqref="W40">
      <formula1>'队伍总览 '!N36:N51</formula1>
    </dataValidation>
    <dataValidation type="list" showInputMessage="1" showErrorMessage="1" sqref="X40">
      <formula1>'队伍总览 '!N36:N51</formula1>
    </dataValidation>
    <dataValidation type="list" showInputMessage="1" showErrorMessage="1" sqref="Y40">
      <formula1>'队伍总览 '!N36:N51</formula1>
    </dataValidation>
    <dataValidation type="list" showInputMessage="1" showErrorMessage="1" sqref="Z40">
      <formula1>'队伍总览 '!N36:N51</formula1>
    </dataValidation>
    <dataValidation type="list" showErrorMessage="1" errorTitle="错误提示" error="请输入下拉列表中的值" sqref="J25:K40">
      <formula1>"诺德 Nord,罗多克 Rhodok,萨兰德 Sarranid,斯瓦迪亚 Swadia,维基亚 Veagir"</formula1>
    </dataValidation>
  </dataValidations>
  <hyperlinks>
    <hyperlink ref="D49" r:id="rId1" display="https://live.bilibili.com/12782808"/>
    <hyperlink ref="D51" r:id="rId2" display="https://live.bilibili.com/949412"/>
    <hyperlink ref="D47" r:id="rId3" display="https://live.bilibili.com/8210695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showRowColHeaders="0" zoomScale="30" zoomScaleNormal="30" workbookViewId="0">
      <selection activeCell="A1" sqref="A1:D1"/>
    </sheetView>
  </sheetViews>
  <sheetFormatPr defaultColWidth="11.3333333333333" defaultRowHeight="16.5" outlineLevelCol="3"/>
  <cols>
    <col min="1" max="1" width="105.888888888889" style="4" customWidth="1"/>
    <col min="2" max="3" width="11.3333333333333" style="4" customWidth="1"/>
    <col min="4" max="4" width="39.2222222222222" style="4" customWidth="1"/>
    <col min="5" max="16384" width="11.3333333333333" style="4" customWidth="1"/>
  </cols>
  <sheetData>
    <row r="1" ht="178.5" customHeight="1" spans="1:4">
      <c r="A1" s="14" t="s">
        <v>326</v>
      </c>
      <c r="B1" s="14"/>
      <c r="C1" s="14"/>
      <c r="D1" s="14"/>
    </row>
    <row r="2" ht="40.5" customHeight="1" spans="1:4">
      <c r="A2" s="15" t="s">
        <v>327</v>
      </c>
      <c r="B2" s="16"/>
      <c r="C2" s="16"/>
      <c r="D2" s="16"/>
    </row>
    <row r="3" ht="29.25" customHeight="1" spans="1:4">
      <c r="A3" s="17"/>
      <c r="B3" s="6"/>
      <c r="C3" s="6"/>
      <c r="D3" s="6"/>
    </row>
    <row r="4" ht="40.5" customHeight="1" spans="1:4">
      <c r="A4" s="14" t="s">
        <v>328</v>
      </c>
      <c r="B4" s="14"/>
      <c r="C4" s="14"/>
      <c r="D4" s="14"/>
    </row>
    <row r="5" ht="21" customHeight="1" spans="1:4">
      <c r="A5" s="18" t="s">
        <v>329</v>
      </c>
      <c r="B5" s="18"/>
      <c r="C5" s="18"/>
      <c r="D5" s="18"/>
    </row>
    <row r="6" ht="40.5" customHeight="1" spans="1:4">
      <c r="A6" s="18" t="s">
        <v>330</v>
      </c>
      <c r="B6" s="19"/>
      <c r="C6" s="19"/>
      <c r="D6" s="19"/>
    </row>
    <row r="7" ht="40.5" customHeight="1" spans="1:4">
      <c r="A7" s="18" t="s">
        <v>331</v>
      </c>
      <c r="B7" s="19"/>
      <c r="C7" s="19"/>
      <c r="D7" s="19"/>
    </row>
    <row r="8" ht="40.5" customHeight="1" spans="1:4">
      <c r="A8" s="18" t="s">
        <v>332</v>
      </c>
      <c r="B8" s="19"/>
      <c r="C8" s="19"/>
      <c r="D8" s="19"/>
    </row>
    <row r="9" ht="40.5" customHeight="1" spans="1:4">
      <c r="A9" s="18" t="s">
        <v>333</v>
      </c>
      <c r="B9" s="19"/>
      <c r="C9" s="19"/>
      <c r="D9" s="19"/>
    </row>
    <row r="10" ht="40.5" customHeight="1" spans="1:4">
      <c r="A10" s="18" t="s">
        <v>334</v>
      </c>
      <c r="B10" s="19"/>
      <c r="C10" s="19"/>
      <c r="D10" s="19"/>
    </row>
    <row r="11" ht="40.5" customHeight="1" spans="1:4">
      <c r="A11" s="20" t="s">
        <v>335</v>
      </c>
      <c r="B11" s="19"/>
      <c r="C11" s="19"/>
      <c r="D11" s="19"/>
    </row>
    <row r="12" ht="40.5" customHeight="1" spans="1:4">
      <c r="A12" s="20" t="s">
        <v>336</v>
      </c>
      <c r="B12" s="19"/>
      <c r="C12" s="19"/>
      <c r="D12" s="19"/>
    </row>
    <row r="14" ht="21.75" customHeight="1" spans="1:1">
      <c r="A14" s="21"/>
    </row>
    <row r="16" spans="1:1">
      <c r="A16" s="22"/>
    </row>
    <row r="18" ht="21.75" customHeight="1" spans="1:1">
      <c r="A18" s="21"/>
    </row>
    <row r="20" ht="24.75" customHeight="1" spans="1:1">
      <c r="A20" s="23"/>
    </row>
    <row r="22" ht="24.75" customHeight="1" spans="1:1">
      <c r="A22" s="23"/>
    </row>
    <row r="24" ht="24.75" customHeight="1" spans="1:1">
      <c r="A24" s="23"/>
    </row>
  </sheetData>
  <sheetProtection formatCells="0" formatColumns="0" formatRows="0" insertRows="0" insertColumns="0" insertHyperlinks="0" deleteColumns="0" deleteRows="0" sort="0" autoFilter="0" pivotTables="0"/>
  <mergeCells count="10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</mergeCells>
  <hyperlinks>
    <hyperlink ref="A2" r:id="rId1" display="https://kdocs.cn/l/cd1pt4d5tPbS" tooltip="https://kdocs.cn/l/cd1pt4d5tPbS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zoomScale="50" zoomScaleNormal="50" topLeftCell="F15" workbookViewId="0">
      <selection activeCell="H1" sqref="H1"/>
    </sheetView>
  </sheetViews>
  <sheetFormatPr defaultColWidth="12.1111111111111" defaultRowHeight="16.5"/>
  <cols>
    <col min="1" max="1" width="12.1111111111111" style="3" hidden="1" customWidth="1"/>
    <col min="2" max="4" width="12.1111111111111" style="4" hidden="1" customWidth="1"/>
    <col min="5" max="5" width="14.4444444444444" style="4" customWidth="1"/>
    <col min="6" max="6" width="21.8888888888889" style="4" customWidth="1"/>
    <col min="7" max="9" width="10.8888888888889" style="4" customWidth="1"/>
    <col min="10" max="10" width="12.1111111111111" style="3" customWidth="1"/>
    <col min="11" max="12" width="12.1111111111111" style="4" hidden="1" customWidth="1"/>
    <col min="13" max="13" width="117" style="4" customWidth="1"/>
    <col min="14" max="16384" width="12.1111111111111" style="4" customWidth="1"/>
  </cols>
  <sheetData>
    <row r="1" spans="1:13">
      <c r="A1" s="311" t="s">
        <v>337</v>
      </c>
      <c r="B1" s="312" t="s">
        <v>338</v>
      </c>
      <c r="C1" s="312" t="s">
        <v>339</v>
      </c>
      <c r="D1" s="312" t="s">
        <v>340</v>
      </c>
      <c r="E1" s="312" t="s">
        <v>22</v>
      </c>
      <c r="F1" s="312" t="s">
        <v>23</v>
      </c>
      <c r="G1" s="312" t="s">
        <v>341</v>
      </c>
      <c r="H1" s="312" t="s">
        <v>342</v>
      </c>
      <c r="I1" s="312" t="s">
        <v>343</v>
      </c>
      <c r="J1" s="311" t="s">
        <v>344</v>
      </c>
      <c r="K1" s="312" t="s">
        <v>345</v>
      </c>
      <c r="L1" s="312" t="s">
        <v>346</v>
      </c>
      <c r="M1" s="312" t="s">
        <v>347</v>
      </c>
    </row>
    <row r="2" spans="1:13">
      <c r="A2" s="5">
        <v>45498.9912037037</v>
      </c>
      <c r="B2" s="312" t="s">
        <v>348</v>
      </c>
      <c r="C2" s="4" t="s">
        <v>349</v>
      </c>
      <c r="D2" s="312" t="s">
        <v>350</v>
      </c>
      <c r="E2" s="312" t="s">
        <v>38</v>
      </c>
      <c r="F2" s="312" t="s">
        <v>39</v>
      </c>
      <c r="H2" s="312" t="s">
        <v>351</v>
      </c>
      <c r="J2" s="311" t="s">
        <v>352</v>
      </c>
      <c r="K2" s="3">
        <v>2775553</v>
      </c>
      <c r="L2" s="312" t="s">
        <v>353</v>
      </c>
      <c r="M2" s="312" t="s">
        <v>354</v>
      </c>
    </row>
    <row r="3" spans="1:13">
      <c r="A3" s="5">
        <v>45499.4007638889</v>
      </c>
      <c r="B3" s="312" t="s">
        <v>355</v>
      </c>
      <c r="C3" s="4" t="s">
        <v>356</v>
      </c>
      <c r="D3" s="312" t="s">
        <v>350</v>
      </c>
      <c r="E3" s="312" t="s">
        <v>158</v>
      </c>
      <c r="F3" s="312" t="s">
        <v>158</v>
      </c>
      <c r="I3" s="312" t="s">
        <v>357</v>
      </c>
      <c r="J3" s="311" t="s">
        <v>358</v>
      </c>
      <c r="K3" s="312" t="s">
        <v>359</v>
      </c>
      <c r="L3" s="312" t="s">
        <v>360</v>
      </c>
      <c r="M3" s="312" t="s">
        <v>241</v>
      </c>
    </row>
    <row r="4" spans="1:13">
      <c r="A4" s="5">
        <v>45499.0555208333</v>
      </c>
      <c r="B4" s="312" t="s">
        <v>361</v>
      </c>
      <c r="C4" s="4" t="s">
        <v>362</v>
      </c>
      <c r="D4" s="312" t="s">
        <v>350</v>
      </c>
      <c r="E4" s="312" t="s">
        <v>159</v>
      </c>
      <c r="F4" s="312" t="s">
        <v>160</v>
      </c>
      <c r="I4" s="312" t="s">
        <v>357</v>
      </c>
      <c r="J4" s="311" t="s">
        <v>363</v>
      </c>
      <c r="K4" s="312" t="s">
        <v>364</v>
      </c>
      <c r="L4" s="312" t="s">
        <v>365</v>
      </c>
      <c r="M4" s="312" t="s">
        <v>366</v>
      </c>
    </row>
    <row r="5" spans="1:13">
      <c r="A5" s="5">
        <v>45498.9941203704</v>
      </c>
      <c r="B5" s="312" t="s">
        <v>367</v>
      </c>
      <c r="C5" s="4" t="s">
        <v>368</v>
      </c>
      <c r="D5" s="312" t="s">
        <v>350</v>
      </c>
      <c r="E5" s="312" t="s">
        <v>161</v>
      </c>
      <c r="F5" s="312" t="s">
        <v>162</v>
      </c>
      <c r="H5" s="312" t="s">
        <v>351</v>
      </c>
      <c r="J5" s="311" t="s">
        <v>369</v>
      </c>
      <c r="K5" s="312" t="s">
        <v>370</v>
      </c>
      <c r="L5" s="312" t="s">
        <v>371</v>
      </c>
      <c r="M5" s="312" t="s">
        <v>241</v>
      </c>
    </row>
    <row r="6" spans="1:13">
      <c r="A6" s="5">
        <v>45499.0066782407</v>
      </c>
      <c r="B6" s="312" t="s">
        <v>372</v>
      </c>
      <c r="C6" s="4" t="s">
        <v>373</v>
      </c>
      <c r="D6" s="312" t="s">
        <v>350</v>
      </c>
      <c r="E6" s="312" t="s">
        <v>40</v>
      </c>
      <c r="F6" s="312" t="s">
        <v>41</v>
      </c>
      <c r="G6" s="312" t="s">
        <v>374</v>
      </c>
      <c r="H6" s="312" t="s">
        <v>351</v>
      </c>
      <c r="J6" s="311" t="s">
        <v>375</v>
      </c>
      <c r="K6" s="312" t="s">
        <v>376</v>
      </c>
      <c r="L6" s="312" t="s">
        <v>41</v>
      </c>
      <c r="M6" s="312" t="s">
        <v>377</v>
      </c>
    </row>
    <row r="7" spans="1:13">
      <c r="A7" s="5">
        <v>45498.9785416667</v>
      </c>
      <c r="B7" s="312" t="s">
        <v>378</v>
      </c>
      <c r="C7" s="4" t="s">
        <v>379</v>
      </c>
      <c r="D7" s="312" t="s">
        <v>350</v>
      </c>
      <c r="E7" s="312" t="s">
        <v>54</v>
      </c>
      <c r="F7" s="312" t="s">
        <v>54</v>
      </c>
      <c r="G7" s="312" t="s">
        <v>374</v>
      </c>
      <c r="H7" s="312" t="s">
        <v>351</v>
      </c>
      <c r="I7" s="312" t="s">
        <v>357</v>
      </c>
      <c r="J7" s="311" t="s">
        <v>380</v>
      </c>
      <c r="K7" s="312" t="s">
        <v>381</v>
      </c>
      <c r="L7" s="312" t="s">
        <v>382</v>
      </c>
      <c r="M7" s="312" t="s">
        <v>383</v>
      </c>
    </row>
    <row r="8" spans="1:13">
      <c r="A8" s="5">
        <v>45498.9793634259</v>
      </c>
      <c r="B8" s="312" t="s">
        <v>384</v>
      </c>
      <c r="C8" s="4" t="s">
        <v>385</v>
      </c>
      <c r="D8" s="312" t="s">
        <v>350</v>
      </c>
      <c r="E8" s="312" t="s">
        <v>55</v>
      </c>
      <c r="F8" s="312" t="s">
        <v>56</v>
      </c>
      <c r="H8" s="312" t="s">
        <v>351</v>
      </c>
      <c r="I8" s="312" t="s">
        <v>357</v>
      </c>
      <c r="J8" s="311" t="s">
        <v>386</v>
      </c>
      <c r="K8" s="312" t="s">
        <v>387</v>
      </c>
      <c r="L8" s="312" t="s">
        <v>388</v>
      </c>
      <c r="M8" s="312" t="s">
        <v>389</v>
      </c>
    </row>
    <row r="9" spans="1:13">
      <c r="A9" s="5">
        <v>45498.9838425926</v>
      </c>
      <c r="B9" s="312" t="s">
        <v>390</v>
      </c>
      <c r="C9" s="4" t="s">
        <v>391</v>
      </c>
      <c r="D9" s="312" t="s">
        <v>392</v>
      </c>
      <c r="E9" s="312" t="s">
        <v>7</v>
      </c>
      <c r="F9" s="312" t="s">
        <v>393</v>
      </c>
      <c r="I9" s="312" t="s">
        <v>357</v>
      </c>
      <c r="J9" s="311" t="s">
        <v>394</v>
      </c>
      <c r="K9" s="8">
        <v>5549069</v>
      </c>
      <c r="L9" s="312" t="s">
        <v>395</v>
      </c>
      <c r="M9" s="6" t="s">
        <v>396</v>
      </c>
    </row>
    <row r="10" spans="1:13">
      <c r="A10" s="5">
        <v>45498.9998032407</v>
      </c>
      <c r="B10" s="312" t="s">
        <v>397</v>
      </c>
      <c r="C10" s="4" t="s">
        <v>398</v>
      </c>
      <c r="D10" s="312" t="s">
        <v>350</v>
      </c>
      <c r="E10" s="312" t="s">
        <v>36</v>
      </c>
      <c r="F10" s="312" t="s">
        <v>37</v>
      </c>
      <c r="G10" s="312" t="s">
        <v>374</v>
      </c>
      <c r="I10" s="312" t="s">
        <v>357</v>
      </c>
      <c r="J10" s="311" t="s">
        <v>399</v>
      </c>
      <c r="K10" s="312" t="s">
        <v>400</v>
      </c>
      <c r="L10" s="312" t="s">
        <v>401</v>
      </c>
      <c r="M10" s="312" t="s">
        <v>402</v>
      </c>
    </row>
    <row r="11" spans="1:13">
      <c r="A11" s="5">
        <v>45499.1783449074</v>
      </c>
      <c r="B11" s="312" t="s">
        <v>403</v>
      </c>
      <c r="C11" s="4" t="s">
        <v>404</v>
      </c>
      <c r="D11" s="312" t="s">
        <v>350</v>
      </c>
      <c r="E11" s="312" t="s">
        <v>57</v>
      </c>
      <c r="F11" s="312" t="s">
        <v>58</v>
      </c>
      <c r="G11" s="312" t="s">
        <v>374</v>
      </c>
      <c r="H11" s="312" t="s">
        <v>351</v>
      </c>
      <c r="I11" s="312" t="s">
        <v>357</v>
      </c>
      <c r="J11" s="311" t="s">
        <v>405</v>
      </c>
      <c r="K11" s="312" t="s">
        <v>406</v>
      </c>
      <c r="L11" s="312" t="s">
        <v>407</v>
      </c>
      <c r="M11" s="312" t="s">
        <v>408</v>
      </c>
    </row>
    <row r="12" spans="1:13">
      <c r="A12" s="5">
        <v>45499.1009027778</v>
      </c>
      <c r="B12" s="312" t="s">
        <v>409</v>
      </c>
      <c r="C12" s="4" t="s">
        <v>410</v>
      </c>
      <c r="D12" s="312" t="s">
        <v>392</v>
      </c>
      <c r="E12" s="312" t="s">
        <v>238</v>
      </c>
      <c r="F12" s="312" t="s">
        <v>238</v>
      </c>
      <c r="G12" s="312" t="s">
        <v>374</v>
      </c>
      <c r="H12" s="312" t="s">
        <v>351</v>
      </c>
      <c r="I12" s="312" t="s">
        <v>357</v>
      </c>
      <c r="J12" s="311" t="s">
        <v>411</v>
      </c>
      <c r="K12" s="312" t="s">
        <v>412</v>
      </c>
      <c r="L12" s="312" t="s">
        <v>413</v>
      </c>
      <c r="M12" s="312" t="s">
        <v>241</v>
      </c>
    </row>
    <row r="13" spans="1:13">
      <c r="A13" s="5">
        <v>45499.0297337963</v>
      </c>
      <c r="B13" s="312" t="s">
        <v>414</v>
      </c>
      <c r="C13" s="4" t="s">
        <v>415</v>
      </c>
      <c r="D13" s="312" t="s">
        <v>350</v>
      </c>
      <c r="E13" s="312" t="s">
        <v>82</v>
      </c>
      <c r="F13" s="312" t="s">
        <v>83</v>
      </c>
      <c r="G13" s="312" t="s">
        <v>374</v>
      </c>
      <c r="H13" s="312" t="s">
        <v>351</v>
      </c>
      <c r="I13" s="312" t="s">
        <v>357</v>
      </c>
      <c r="J13" s="311" t="s">
        <v>416</v>
      </c>
      <c r="K13" s="312" t="s">
        <v>417</v>
      </c>
      <c r="L13" s="312" t="s">
        <v>418</v>
      </c>
      <c r="M13" s="312" t="s">
        <v>419</v>
      </c>
    </row>
    <row r="14" spans="1:13">
      <c r="A14" s="5">
        <v>45499.0422800926</v>
      </c>
      <c r="B14" s="312" t="s">
        <v>420</v>
      </c>
      <c r="C14" s="4" t="s">
        <v>421</v>
      </c>
      <c r="D14" s="313" t="s">
        <v>392</v>
      </c>
      <c r="E14" s="312" t="s">
        <v>239</v>
      </c>
      <c r="F14" s="312" t="s">
        <v>422</v>
      </c>
      <c r="G14" s="312" t="s">
        <v>374</v>
      </c>
      <c r="I14" s="312" t="s">
        <v>357</v>
      </c>
      <c r="J14" s="311" t="s">
        <v>423</v>
      </c>
      <c r="K14" s="312" t="s">
        <v>424</v>
      </c>
      <c r="L14" s="312" t="s">
        <v>425</v>
      </c>
      <c r="M14" s="312" t="s">
        <v>426</v>
      </c>
    </row>
    <row r="15" spans="1:13">
      <c r="A15" s="5">
        <v>45499.0847222222</v>
      </c>
      <c r="B15" s="312" t="s">
        <v>427</v>
      </c>
      <c r="C15" s="4" t="s">
        <v>428</v>
      </c>
      <c r="D15" s="312" t="s">
        <v>350</v>
      </c>
      <c r="E15" s="312" t="s">
        <v>84</v>
      </c>
      <c r="F15" s="312" t="s">
        <v>84</v>
      </c>
      <c r="G15" s="312" t="s">
        <v>374</v>
      </c>
      <c r="J15" s="311" t="s">
        <v>429</v>
      </c>
      <c r="K15" s="312" t="s">
        <v>430</v>
      </c>
      <c r="L15" s="312" t="s">
        <v>431</v>
      </c>
      <c r="M15" s="312" t="s">
        <v>241</v>
      </c>
    </row>
    <row r="16" spans="1:13">
      <c r="A16" s="5">
        <v>45499.0265393518</v>
      </c>
      <c r="B16" s="312" t="s">
        <v>432</v>
      </c>
      <c r="C16" s="4" t="s">
        <v>433</v>
      </c>
      <c r="D16" s="312" t="s">
        <v>350</v>
      </c>
      <c r="E16" s="312" t="s">
        <v>85</v>
      </c>
      <c r="F16" s="312" t="s">
        <v>86</v>
      </c>
      <c r="G16" s="312" t="s">
        <v>374</v>
      </c>
      <c r="H16" s="312" t="s">
        <v>351</v>
      </c>
      <c r="I16" s="312" t="s">
        <v>357</v>
      </c>
      <c r="J16" s="311" t="s">
        <v>434</v>
      </c>
      <c r="K16" s="312" t="s">
        <v>435</v>
      </c>
      <c r="L16" s="312" t="s">
        <v>436</v>
      </c>
      <c r="M16" s="312" t="s">
        <v>437</v>
      </c>
    </row>
    <row r="17" spans="1:13">
      <c r="A17" s="5">
        <v>45499.0932060185</v>
      </c>
      <c r="B17" s="312" t="s">
        <v>438</v>
      </c>
      <c r="C17" s="4" t="s">
        <v>439</v>
      </c>
      <c r="D17" s="312" t="s">
        <v>350</v>
      </c>
      <c r="E17" s="312" t="s">
        <v>101</v>
      </c>
      <c r="F17" s="312" t="s">
        <v>101</v>
      </c>
      <c r="I17" s="312" t="s">
        <v>357</v>
      </c>
      <c r="J17" s="311" t="s">
        <v>440</v>
      </c>
      <c r="K17" s="312" t="s">
        <v>441</v>
      </c>
      <c r="L17" s="312" t="s">
        <v>440</v>
      </c>
      <c r="M17" s="312" t="s">
        <v>241</v>
      </c>
    </row>
    <row r="18" spans="1:13">
      <c r="A18" s="5">
        <v>45498.9987962963</v>
      </c>
      <c r="B18" s="312" t="s">
        <v>442</v>
      </c>
      <c r="C18" s="4" t="s">
        <v>443</v>
      </c>
      <c r="D18" s="312" t="s">
        <v>350</v>
      </c>
      <c r="E18" s="312" t="s">
        <v>102</v>
      </c>
      <c r="F18" s="6" t="s">
        <v>103</v>
      </c>
      <c r="G18" s="312" t="s">
        <v>374</v>
      </c>
      <c r="I18" s="312" t="s">
        <v>357</v>
      </c>
      <c r="J18" s="311" t="s">
        <v>444</v>
      </c>
      <c r="K18" s="312" t="s">
        <v>445</v>
      </c>
      <c r="L18" s="312" t="s">
        <v>102</v>
      </c>
      <c r="M18" s="312" t="s">
        <v>446</v>
      </c>
    </row>
    <row r="19" spans="1:13">
      <c r="A19" s="5">
        <v>45499.4713773148</v>
      </c>
      <c r="B19" s="312" t="s">
        <v>447</v>
      </c>
      <c r="C19" s="4" t="s">
        <v>448</v>
      </c>
      <c r="D19" s="312" t="s">
        <v>350</v>
      </c>
      <c r="E19" s="312" t="s">
        <v>31</v>
      </c>
      <c r="F19" s="312" t="s">
        <v>31</v>
      </c>
      <c r="H19" s="312" t="s">
        <v>351</v>
      </c>
      <c r="I19" s="312" t="s">
        <v>357</v>
      </c>
      <c r="J19" s="311" t="s">
        <v>449</v>
      </c>
      <c r="K19" s="312" t="s">
        <v>450</v>
      </c>
      <c r="L19" s="312" t="s">
        <v>451</v>
      </c>
      <c r="M19" s="312" t="s">
        <v>452</v>
      </c>
    </row>
    <row r="20" spans="1:13">
      <c r="A20" s="5">
        <v>45499.4796296296</v>
      </c>
      <c r="B20" s="312" t="s">
        <v>453</v>
      </c>
      <c r="C20" s="4" t="s">
        <v>454</v>
      </c>
      <c r="D20" s="312" t="s">
        <v>350</v>
      </c>
      <c r="E20" s="312" t="s">
        <v>104</v>
      </c>
      <c r="F20" s="312" t="s">
        <v>104</v>
      </c>
      <c r="G20" s="312" t="s">
        <v>374</v>
      </c>
      <c r="H20" s="312" t="s">
        <v>351</v>
      </c>
      <c r="J20" s="311" t="s">
        <v>455</v>
      </c>
      <c r="K20" s="312" t="s">
        <v>456</v>
      </c>
      <c r="L20" s="312" t="s">
        <v>457</v>
      </c>
      <c r="M20" s="312" t="s">
        <v>241</v>
      </c>
    </row>
    <row r="21" spans="1:13">
      <c r="A21" s="5">
        <v>45499.4814351852</v>
      </c>
      <c r="B21" s="312" t="s">
        <v>458</v>
      </c>
      <c r="C21" s="4" t="s">
        <v>459</v>
      </c>
      <c r="D21" s="312" t="s">
        <v>350</v>
      </c>
      <c r="E21" s="312" t="s">
        <v>42</v>
      </c>
      <c r="F21" s="312" t="s">
        <v>42</v>
      </c>
      <c r="G21" s="312" t="s">
        <v>374</v>
      </c>
      <c r="H21" s="312" t="s">
        <v>351</v>
      </c>
      <c r="I21" s="312" t="s">
        <v>357</v>
      </c>
      <c r="J21" s="3">
        <v>3224307963</v>
      </c>
      <c r="K21" s="3">
        <v>5916568</v>
      </c>
      <c r="L21" s="312" t="s">
        <v>460</v>
      </c>
      <c r="M21" s="312" t="s">
        <v>241</v>
      </c>
    </row>
    <row r="22" spans="1:13">
      <c r="A22" s="5">
        <v>45499.4941666667</v>
      </c>
      <c r="B22" s="312" t="s">
        <v>461</v>
      </c>
      <c r="C22" s="4" t="s">
        <v>462</v>
      </c>
      <c r="D22" s="312" t="s">
        <v>350</v>
      </c>
      <c r="E22" s="312" t="s">
        <v>43</v>
      </c>
      <c r="F22" s="312" t="s">
        <v>44</v>
      </c>
      <c r="G22" s="312" t="s">
        <v>374</v>
      </c>
      <c r="I22" s="312" t="s">
        <v>357</v>
      </c>
      <c r="J22" s="311" t="s">
        <v>463</v>
      </c>
      <c r="K22" s="312" t="s">
        <v>464</v>
      </c>
      <c r="L22" s="312" t="s">
        <v>465</v>
      </c>
      <c r="M22" s="312" t="s">
        <v>466</v>
      </c>
    </row>
    <row r="23" spans="1:13">
      <c r="A23" s="5">
        <v>45499.494537037</v>
      </c>
      <c r="B23" s="312" t="s">
        <v>467</v>
      </c>
      <c r="C23" s="4" t="s">
        <v>468</v>
      </c>
      <c r="D23" s="312" t="s">
        <v>350</v>
      </c>
      <c r="E23" s="6" t="s">
        <v>52</v>
      </c>
      <c r="F23" s="312" t="s">
        <v>53</v>
      </c>
      <c r="G23" s="312" t="s">
        <v>374</v>
      </c>
      <c r="H23" s="312" t="s">
        <v>351</v>
      </c>
      <c r="I23" s="312" t="s">
        <v>357</v>
      </c>
      <c r="J23" s="311" t="s">
        <v>469</v>
      </c>
      <c r="K23" s="312" t="s">
        <v>470</v>
      </c>
      <c r="L23" s="312" t="s">
        <v>471</v>
      </c>
      <c r="M23" s="312" t="s">
        <v>472</v>
      </c>
    </row>
    <row r="24" spans="1:13">
      <c r="A24" s="5">
        <v>45499.4964814815</v>
      </c>
      <c r="B24" s="312" t="s">
        <v>473</v>
      </c>
      <c r="C24" s="4" t="s">
        <v>474</v>
      </c>
      <c r="D24" s="312" t="s">
        <v>350</v>
      </c>
      <c r="E24" s="6" t="s">
        <v>118</v>
      </c>
      <c r="F24" s="6" t="s">
        <v>119</v>
      </c>
      <c r="I24" s="312" t="s">
        <v>357</v>
      </c>
      <c r="J24" s="311" t="s">
        <v>475</v>
      </c>
      <c r="K24" s="9">
        <v>347507</v>
      </c>
      <c r="L24" s="312" t="s">
        <v>476</v>
      </c>
      <c r="M24" s="312" t="s">
        <v>477</v>
      </c>
    </row>
    <row r="25" spans="1:13">
      <c r="A25" s="5">
        <v>45499.4977777778</v>
      </c>
      <c r="B25" s="312" t="s">
        <v>478</v>
      </c>
      <c r="C25" s="4" t="s">
        <v>479</v>
      </c>
      <c r="D25" s="312" t="s">
        <v>350</v>
      </c>
      <c r="E25" s="312" t="s">
        <v>45</v>
      </c>
      <c r="F25" s="312" t="s">
        <v>45</v>
      </c>
      <c r="I25" s="312" t="s">
        <v>357</v>
      </c>
      <c r="J25" s="311" t="s">
        <v>480</v>
      </c>
      <c r="K25" s="312" t="s">
        <v>481</v>
      </c>
      <c r="L25" s="312" t="s">
        <v>482</v>
      </c>
      <c r="M25" s="312" t="s">
        <v>241</v>
      </c>
    </row>
    <row r="26" spans="1:13">
      <c r="A26" s="5">
        <v>45499.4991319444</v>
      </c>
      <c r="B26" s="312" t="s">
        <v>483</v>
      </c>
      <c r="C26" s="4" t="s">
        <v>484</v>
      </c>
      <c r="D26" s="313" t="s">
        <v>392</v>
      </c>
      <c r="E26" s="312" t="s">
        <v>9</v>
      </c>
      <c r="F26" s="312" t="s">
        <v>485</v>
      </c>
      <c r="G26" s="312" t="s">
        <v>374</v>
      </c>
      <c r="J26" s="311" t="s">
        <v>486</v>
      </c>
      <c r="K26" s="312" t="s">
        <v>487</v>
      </c>
      <c r="L26" s="312" t="s">
        <v>9</v>
      </c>
      <c r="M26" s="312" t="s">
        <v>488</v>
      </c>
    </row>
    <row r="27" spans="1:13">
      <c r="A27" s="5">
        <v>45499.5021990741</v>
      </c>
      <c r="B27" s="312" t="s">
        <v>489</v>
      </c>
      <c r="C27" s="4" t="s">
        <v>490</v>
      </c>
      <c r="D27" s="312" t="s">
        <v>350</v>
      </c>
      <c r="E27" s="312" t="s">
        <v>120</v>
      </c>
      <c r="F27" s="312" t="s">
        <v>121</v>
      </c>
      <c r="G27" s="312" t="s">
        <v>374</v>
      </c>
      <c r="H27" s="312" t="s">
        <v>351</v>
      </c>
      <c r="I27" s="312" t="s">
        <v>357</v>
      </c>
      <c r="J27" s="311" t="s">
        <v>491</v>
      </c>
      <c r="K27" s="312" t="s">
        <v>492</v>
      </c>
      <c r="L27" s="312" t="s">
        <v>493</v>
      </c>
      <c r="M27" s="312" t="s">
        <v>494</v>
      </c>
    </row>
    <row r="28" spans="1:13">
      <c r="A28" s="5">
        <v>45499.5052199074</v>
      </c>
      <c r="B28" s="312" t="s">
        <v>495</v>
      </c>
      <c r="C28" s="4" t="s">
        <v>496</v>
      </c>
      <c r="D28" s="312" t="s">
        <v>350</v>
      </c>
      <c r="E28" s="6" t="s">
        <v>122</v>
      </c>
      <c r="F28" s="312" t="s">
        <v>123</v>
      </c>
      <c r="G28" s="312" t="s">
        <v>374</v>
      </c>
      <c r="H28" s="312" t="s">
        <v>351</v>
      </c>
      <c r="I28" s="312" t="s">
        <v>357</v>
      </c>
      <c r="J28" s="311" t="s">
        <v>497</v>
      </c>
      <c r="K28" s="312" t="s">
        <v>498</v>
      </c>
      <c r="L28" s="312" t="s">
        <v>499</v>
      </c>
      <c r="M28" s="312" t="s">
        <v>500</v>
      </c>
    </row>
    <row r="29" ht="21" customHeight="1" spans="1:13">
      <c r="A29" s="5">
        <v>45499.5395138889</v>
      </c>
      <c r="B29" s="312" t="s">
        <v>501</v>
      </c>
      <c r="C29" s="4" t="s">
        <v>502</v>
      </c>
      <c r="D29" s="312" t="s">
        <v>350</v>
      </c>
      <c r="E29" s="312" t="s">
        <v>46</v>
      </c>
      <c r="F29" s="312" t="s">
        <v>47</v>
      </c>
      <c r="G29" s="312" t="s">
        <v>374</v>
      </c>
      <c r="H29" s="312" t="s">
        <v>351</v>
      </c>
      <c r="J29" s="311" t="s">
        <v>503</v>
      </c>
      <c r="K29" s="312" t="s">
        <v>504</v>
      </c>
      <c r="L29" s="312" t="s">
        <v>505</v>
      </c>
      <c r="M29" s="312" t="s">
        <v>506</v>
      </c>
    </row>
    <row r="30" spans="1:13">
      <c r="A30" s="5">
        <v>45499.5448032407</v>
      </c>
      <c r="B30" s="312" t="s">
        <v>507</v>
      </c>
      <c r="C30" s="4" t="s">
        <v>508</v>
      </c>
      <c r="D30" s="312" t="s">
        <v>350</v>
      </c>
      <c r="E30" s="312" t="s">
        <v>32</v>
      </c>
      <c r="F30" s="312" t="s">
        <v>33</v>
      </c>
      <c r="G30" s="312" t="s">
        <v>374</v>
      </c>
      <c r="H30" s="312" t="s">
        <v>351</v>
      </c>
      <c r="J30" s="311" t="s">
        <v>509</v>
      </c>
      <c r="K30" s="312" t="s">
        <v>510</v>
      </c>
      <c r="L30" s="312" t="s">
        <v>511</v>
      </c>
      <c r="M30" s="312" t="s">
        <v>241</v>
      </c>
    </row>
    <row r="31" spans="1:13">
      <c r="A31" s="5">
        <v>45499.5483912037</v>
      </c>
      <c r="B31" s="312" t="s">
        <v>512</v>
      </c>
      <c r="C31" s="4" t="s">
        <v>513</v>
      </c>
      <c r="D31" s="312" t="s">
        <v>350</v>
      </c>
      <c r="E31" s="312" t="s">
        <v>34</v>
      </c>
      <c r="F31" s="312" t="s">
        <v>35</v>
      </c>
      <c r="G31" s="312" t="s">
        <v>374</v>
      </c>
      <c r="H31" s="312" t="s">
        <v>351</v>
      </c>
      <c r="I31" s="312" t="s">
        <v>357</v>
      </c>
      <c r="J31" s="311" t="s">
        <v>514</v>
      </c>
      <c r="K31" s="312" t="s">
        <v>515</v>
      </c>
      <c r="L31" s="312" t="s">
        <v>516</v>
      </c>
      <c r="M31" s="312" t="s">
        <v>517</v>
      </c>
    </row>
    <row r="32" spans="1:13">
      <c r="A32" s="5">
        <v>45499.5966666667</v>
      </c>
      <c r="B32" s="312" t="s">
        <v>518</v>
      </c>
      <c r="C32" s="4" t="s">
        <v>519</v>
      </c>
      <c r="D32" s="312" t="s">
        <v>350</v>
      </c>
      <c r="E32" s="312" t="s">
        <v>48</v>
      </c>
      <c r="F32" s="312" t="s">
        <v>49</v>
      </c>
      <c r="G32" s="312" t="s">
        <v>374</v>
      </c>
      <c r="H32" s="312" t="s">
        <v>351</v>
      </c>
      <c r="I32" s="312" t="s">
        <v>357</v>
      </c>
      <c r="J32" s="311" t="s">
        <v>520</v>
      </c>
      <c r="K32" s="312" t="s">
        <v>521</v>
      </c>
      <c r="L32" s="312" t="s">
        <v>522</v>
      </c>
      <c r="M32" s="312" t="s">
        <v>523</v>
      </c>
    </row>
    <row r="33" spans="1:13">
      <c r="A33" s="5"/>
      <c r="B33" s="312" t="s">
        <v>241</v>
      </c>
      <c r="D33" s="312" t="s">
        <v>350</v>
      </c>
      <c r="E33" s="6" t="s">
        <v>78</v>
      </c>
      <c r="F33" s="313" t="s">
        <v>79</v>
      </c>
      <c r="G33" s="312" t="s">
        <v>374</v>
      </c>
      <c r="H33" s="312" t="s">
        <v>351</v>
      </c>
      <c r="I33" s="312" t="s">
        <v>357</v>
      </c>
      <c r="J33" s="3">
        <v>1582328692</v>
      </c>
      <c r="K33" s="3">
        <v>1398091</v>
      </c>
      <c r="M33" s="6" t="s">
        <v>524</v>
      </c>
    </row>
    <row r="34" spans="1:13">
      <c r="A34" s="5">
        <v>45499.6223842593</v>
      </c>
      <c r="B34" s="312" t="s">
        <v>525</v>
      </c>
      <c r="C34" s="4" t="s">
        <v>526</v>
      </c>
      <c r="D34" s="312" t="s">
        <v>350</v>
      </c>
      <c r="E34" s="312" t="s">
        <v>127</v>
      </c>
      <c r="F34" s="312" t="s">
        <v>128</v>
      </c>
      <c r="G34" s="312" t="s">
        <v>374</v>
      </c>
      <c r="H34" s="312" t="s">
        <v>351</v>
      </c>
      <c r="I34" s="312" t="s">
        <v>357</v>
      </c>
      <c r="J34" s="311" t="s">
        <v>527</v>
      </c>
      <c r="K34" s="312" t="s">
        <v>528</v>
      </c>
      <c r="L34" s="312" t="s">
        <v>529</v>
      </c>
      <c r="M34" s="312" t="s">
        <v>530</v>
      </c>
    </row>
    <row r="35" spans="1:13">
      <c r="A35" s="5">
        <v>45499.638275463</v>
      </c>
      <c r="B35" s="312" t="s">
        <v>531</v>
      </c>
      <c r="C35" s="4" t="s">
        <v>532</v>
      </c>
      <c r="D35" s="312" t="s">
        <v>350</v>
      </c>
      <c r="E35" s="6" t="s">
        <v>50</v>
      </c>
      <c r="F35" s="312" t="s">
        <v>51</v>
      </c>
      <c r="H35" s="312" t="s">
        <v>351</v>
      </c>
      <c r="J35" s="311" t="s">
        <v>533</v>
      </c>
      <c r="K35" s="312" t="s">
        <v>534</v>
      </c>
      <c r="L35" s="312" t="s">
        <v>535</v>
      </c>
      <c r="M35" s="312" t="s">
        <v>536</v>
      </c>
    </row>
    <row r="36" spans="1:13">
      <c r="A36" s="5">
        <v>45499.7241666667</v>
      </c>
      <c r="B36" s="312" t="s">
        <v>537</v>
      </c>
      <c r="C36" s="4" t="s">
        <v>459</v>
      </c>
      <c r="D36" s="312" t="s">
        <v>350</v>
      </c>
      <c r="E36" s="312" t="s">
        <v>70</v>
      </c>
      <c r="F36" s="312" t="s">
        <v>70</v>
      </c>
      <c r="G36" s="312" t="s">
        <v>374</v>
      </c>
      <c r="H36" s="312" t="s">
        <v>351</v>
      </c>
      <c r="I36" s="312" t="s">
        <v>357</v>
      </c>
      <c r="J36" s="311" t="s">
        <v>538</v>
      </c>
      <c r="K36" s="312" t="s">
        <v>539</v>
      </c>
      <c r="L36" s="312" t="s">
        <v>540</v>
      </c>
      <c r="M36" s="312" t="s">
        <v>541</v>
      </c>
    </row>
    <row r="37" spans="1:13">
      <c r="A37" s="5">
        <v>45499.7706134259</v>
      </c>
      <c r="B37" s="312" t="s">
        <v>542</v>
      </c>
      <c r="C37" s="4" t="s">
        <v>543</v>
      </c>
      <c r="D37" s="312" t="s">
        <v>350</v>
      </c>
      <c r="E37" s="312" t="s">
        <v>129</v>
      </c>
      <c r="F37" s="312" t="s">
        <v>130</v>
      </c>
      <c r="H37" s="312" t="s">
        <v>351</v>
      </c>
      <c r="J37" s="311" t="s">
        <v>544</v>
      </c>
      <c r="K37" s="312" t="s">
        <v>545</v>
      </c>
      <c r="L37" s="312" t="s">
        <v>546</v>
      </c>
      <c r="M37" s="312" t="s">
        <v>241</v>
      </c>
    </row>
    <row r="38" spans="1:13">
      <c r="A38" s="5">
        <v>45499.77625</v>
      </c>
      <c r="B38" s="312" t="s">
        <v>547</v>
      </c>
      <c r="C38" s="4" t="s">
        <v>548</v>
      </c>
      <c r="D38" s="312" t="s">
        <v>350</v>
      </c>
      <c r="E38" s="312" t="s">
        <v>71</v>
      </c>
      <c r="F38" s="312" t="s">
        <v>71</v>
      </c>
      <c r="G38" s="312" t="s">
        <v>374</v>
      </c>
      <c r="H38" s="312" t="s">
        <v>351</v>
      </c>
      <c r="J38" s="311" t="s">
        <v>549</v>
      </c>
      <c r="K38" s="312" t="s">
        <v>550</v>
      </c>
      <c r="L38" s="312" t="s">
        <v>551</v>
      </c>
      <c r="M38" s="312" t="s">
        <v>552</v>
      </c>
    </row>
    <row r="39" ht="22.5" customHeight="1" spans="1:13">
      <c r="A39" s="5">
        <v>45499.7808680556</v>
      </c>
      <c r="B39" s="312" t="s">
        <v>553</v>
      </c>
      <c r="C39" s="4" t="s">
        <v>404</v>
      </c>
      <c r="D39" s="312" t="s">
        <v>350</v>
      </c>
      <c r="E39" s="314" t="s">
        <v>72</v>
      </c>
      <c r="F39" s="312" t="s">
        <v>73</v>
      </c>
      <c r="G39" s="312" t="s">
        <v>374</v>
      </c>
      <c r="J39" s="311" t="s">
        <v>554</v>
      </c>
      <c r="K39" s="312" t="s">
        <v>555</v>
      </c>
      <c r="L39" s="312" t="s">
        <v>73</v>
      </c>
      <c r="M39" s="312" t="s">
        <v>556</v>
      </c>
    </row>
    <row r="40" spans="1:13">
      <c r="A40" s="5">
        <v>45499.7837962963</v>
      </c>
      <c r="B40" s="312" t="s">
        <v>557</v>
      </c>
      <c r="C40" s="4" t="s">
        <v>558</v>
      </c>
      <c r="D40" s="312" t="s">
        <v>350</v>
      </c>
      <c r="E40" s="312" t="s">
        <v>74</v>
      </c>
      <c r="F40" s="312" t="s">
        <v>74</v>
      </c>
      <c r="G40" s="312" t="s">
        <v>374</v>
      </c>
      <c r="I40" s="312" t="s">
        <v>357</v>
      </c>
      <c r="J40" s="311" t="s">
        <v>559</v>
      </c>
      <c r="K40" s="312" t="s">
        <v>560</v>
      </c>
      <c r="L40" s="312" t="s">
        <v>561</v>
      </c>
      <c r="M40" s="312" t="s">
        <v>562</v>
      </c>
    </row>
    <row r="41" spans="1:13">
      <c r="A41" s="5">
        <v>45499.7941203704</v>
      </c>
      <c r="B41" s="312" t="s">
        <v>563</v>
      </c>
      <c r="C41" s="4" t="s">
        <v>564</v>
      </c>
      <c r="D41" s="312" t="s">
        <v>392</v>
      </c>
      <c r="E41" s="312" t="s">
        <v>240</v>
      </c>
      <c r="F41" s="312" t="s">
        <v>565</v>
      </c>
      <c r="H41" s="312" t="s">
        <v>351</v>
      </c>
      <c r="I41" s="312" t="s">
        <v>357</v>
      </c>
      <c r="J41" s="311" t="s">
        <v>566</v>
      </c>
      <c r="K41" s="312" t="s">
        <v>567</v>
      </c>
      <c r="L41" s="312" t="s">
        <v>568</v>
      </c>
      <c r="M41" s="312" t="s">
        <v>569</v>
      </c>
    </row>
    <row r="42" spans="1:13">
      <c r="A42" s="5">
        <v>45499.7971180556</v>
      </c>
      <c r="B42" s="312" t="s">
        <v>570</v>
      </c>
      <c r="C42" s="4" t="s">
        <v>571</v>
      </c>
      <c r="D42" s="312" t="s">
        <v>350</v>
      </c>
      <c r="E42" s="312" t="s">
        <v>131</v>
      </c>
      <c r="F42" s="312" t="s">
        <v>132</v>
      </c>
      <c r="H42" s="312" t="s">
        <v>351</v>
      </c>
      <c r="J42" s="311" t="s">
        <v>572</v>
      </c>
      <c r="K42" s="312" t="s">
        <v>573</v>
      </c>
      <c r="L42" s="312" t="s">
        <v>574</v>
      </c>
      <c r="M42" s="312" t="s">
        <v>575</v>
      </c>
    </row>
    <row r="43" spans="1:13">
      <c r="A43" s="5">
        <v>45499.8009837963</v>
      </c>
      <c r="B43" s="312" t="s">
        <v>576</v>
      </c>
      <c r="C43" s="4" t="s">
        <v>577</v>
      </c>
      <c r="D43" s="312" t="s">
        <v>350</v>
      </c>
      <c r="E43" s="312" t="s">
        <v>75</v>
      </c>
      <c r="F43" s="312" t="s">
        <v>75</v>
      </c>
      <c r="G43" s="312" t="s">
        <v>374</v>
      </c>
      <c r="H43" s="312" t="s">
        <v>351</v>
      </c>
      <c r="I43" s="312" t="s">
        <v>357</v>
      </c>
      <c r="J43" s="311" t="s">
        <v>578</v>
      </c>
      <c r="K43" s="312" t="s">
        <v>579</v>
      </c>
      <c r="L43" s="312" t="s">
        <v>75</v>
      </c>
      <c r="M43" s="312" t="s">
        <v>580</v>
      </c>
    </row>
    <row r="44" spans="1:13">
      <c r="A44" s="5">
        <v>45499.8065509259</v>
      </c>
      <c r="B44" s="312" t="s">
        <v>581</v>
      </c>
      <c r="C44" s="4" t="s">
        <v>582</v>
      </c>
      <c r="D44" s="312" t="s">
        <v>350</v>
      </c>
      <c r="E44" s="312" t="s">
        <v>133</v>
      </c>
      <c r="F44" s="312" t="s">
        <v>134</v>
      </c>
      <c r="G44" s="312" t="s">
        <v>374</v>
      </c>
      <c r="I44" s="312" t="s">
        <v>357</v>
      </c>
      <c r="J44" s="311" t="s">
        <v>583</v>
      </c>
      <c r="K44" s="312" t="s">
        <v>584</v>
      </c>
      <c r="L44" s="312" t="s">
        <v>585</v>
      </c>
      <c r="M44" s="312" t="s">
        <v>586</v>
      </c>
    </row>
    <row r="45" spans="1:13">
      <c r="A45" s="5">
        <v>45499.8240162037</v>
      </c>
      <c r="B45" s="312" t="s">
        <v>587</v>
      </c>
      <c r="C45" s="4" t="s">
        <v>484</v>
      </c>
      <c r="D45" s="312" t="s">
        <v>350</v>
      </c>
      <c r="E45" s="312" t="s">
        <v>87</v>
      </c>
      <c r="F45" s="312" t="s">
        <v>87</v>
      </c>
      <c r="I45" s="312" t="s">
        <v>357</v>
      </c>
      <c r="J45" s="311" t="s">
        <v>588</v>
      </c>
      <c r="K45" s="312" t="s">
        <v>589</v>
      </c>
      <c r="L45" s="312" t="s">
        <v>87</v>
      </c>
      <c r="M45" s="312" t="s">
        <v>241</v>
      </c>
    </row>
    <row r="46" spans="1:13">
      <c r="A46" s="5">
        <v>45499.8372222222</v>
      </c>
      <c r="B46" s="312" t="s">
        <v>590</v>
      </c>
      <c r="C46" s="4" t="s">
        <v>591</v>
      </c>
      <c r="D46" s="312" t="s">
        <v>350</v>
      </c>
      <c r="E46" s="312" t="s">
        <v>88</v>
      </c>
      <c r="F46" s="312" t="s">
        <v>88</v>
      </c>
      <c r="G46" s="312" t="s">
        <v>374</v>
      </c>
      <c r="J46" s="311" t="s">
        <v>592</v>
      </c>
      <c r="K46" s="312" t="s">
        <v>593</v>
      </c>
      <c r="L46" s="312" t="s">
        <v>594</v>
      </c>
      <c r="M46" s="312" t="s">
        <v>241</v>
      </c>
    </row>
    <row r="47" ht="33" spans="1:13">
      <c r="A47" s="5">
        <v>45499.8643518519</v>
      </c>
      <c r="B47" s="312" t="s">
        <v>595</v>
      </c>
      <c r="C47" s="4" t="s">
        <v>596</v>
      </c>
      <c r="D47" s="312" t="s">
        <v>350</v>
      </c>
      <c r="E47" s="312" t="s">
        <v>76</v>
      </c>
      <c r="F47" s="312" t="s">
        <v>77</v>
      </c>
      <c r="G47" s="312" t="s">
        <v>374</v>
      </c>
      <c r="I47" s="312" t="s">
        <v>357</v>
      </c>
      <c r="J47" s="311" t="s">
        <v>597</v>
      </c>
      <c r="K47" s="7" t="s">
        <v>598</v>
      </c>
      <c r="L47" s="312" t="s">
        <v>599</v>
      </c>
      <c r="M47" s="312" t="s">
        <v>600</v>
      </c>
    </row>
    <row r="48" spans="1:13">
      <c r="A48" s="5">
        <v>45499.8644560185</v>
      </c>
      <c r="B48" s="312" t="s">
        <v>601</v>
      </c>
      <c r="C48" s="4" t="s">
        <v>602</v>
      </c>
      <c r="D48" s="312" t="s">
        <v>350</v>
      </c>
      <c r="E48" s="312" t="s">
        <v>97</v>
      </c>
      <c r="F48" s="312" t="s">
        <v>97</v>
      </c>
      <c r="G48" s="312" t="s">
        <v>374</v>
      </c>
      <c r="H48" s="312" t="s">
        <v>351</v>
      </c>
      <c r="I48" s="312" t="s">
        <v>357</v>
      </c>
      <c r="J48" s="311" t="s">
        <v>603</v>
      </c>
      <c r="K48" s="312" t="s">
        <v>604</v>
      </c>
      <c r="L48" s="312" t="s">
        <v>605</v>
      </c>
      <c r="M48" s="312" t="s">
        <v>606</v>
      </c>
    </row>
    <row r="49" spans="1:13">
      <c r="A49" s="5">
        <v>45499.8730555556</v>
      </c>
      <c r="B49" s="312" t="s">
        <v>607</v>
      </c>
      <c r="C49" s="4" t="s">
        <v>608</v>
      </c>
      <c r="D49" s="312" t="s">
        <v>350</v>
      </c>
      <c r="E49" s="312" t="s">
        <v>89</v>
      </c>
      <c r="F49" s="312" t="s">
        <v>90</v>
      </c>
      <c r="G49" s="312" t="s">
        <v>374</v>
      </c>
      <c r="J49" s="311" t="s">
        <v>609</v>
      </c>
      <c r="K49" s="312" t="s">
        <v>610</v>
      </c>
      <c r="L49" s="312" t="s">
        <v>89</v>
      </c>
      <c r="M49" s="312" t="s">
        <v>241</v>
      </c>
    </row>
    <row r="50" spans="1:13">
      <c r="A50" s="5">
        <v>45499.9171875</v>
      </c>
      <c r="B50" s="312" t="s">
        <v>611</v>
      </c>
      <c r="C50" s="4" t="s">
        <v>612</v>
      </c>
      <c r="D50" s="312" t="s">
        <v>350</v>
      </c>
      <c r="E50" s="312" t="s">
        <v>98</v>
      </c>
      <c r="F50" s="312" t="s">
        <v>98</v>
      </c>
      <c r="H50" s="312" t="s">
        <v>351</v>
      </c>
      <c r="I50" s="312" t="s">
        <v>357</v>
      </c>
      <c r="J50" s="311" t="s">
        <v>613</v>
      </c>
      <c r="K50" s="313" t="s">
        <v>614</v>
      </c>
      <c r="L50" s="312" t="s">
        <v>615</v>
      </c>
      <c r="M50" s="312" t="s">
        <v>615</v>
      </c>
    </row>
    <row r="51" spans="1:13">
      <c r="A51" s="5">
        <v>45499.9245138889</v>
      </c>
      <c r="B51" s="312" t="s">
        <v>616</v>
      </c>
      <c r="C51" s="4" t="s">
        <v>617</v>
      </c>
      <c r="D51" s="312" t="s">
        <v>350</v>
      </c>
      <c r="E51" s="312" t="s">
        <v>135</v>
      </c>
      <c r="F51" s="312" t="s">
        <v>135</v>
      </c>
      <c r="I51" s="312" t="s">
        <v>357</v>
      </c>
      <c r="J51" s="311" t="s">
        <v>618</v>
      </c>
      <c r="K51" s="312" t="s">
        <v>619</v>
      </c>
      <c r="L51" s="312" t="s">
        <v>620</v>
      </c>
      <c r="M51" s="312" t="s">
        <v>621</v>
      </c>
    </row>
    <row r="52" spans="1:13">
      <c r="A52" s="5">
        <v>45499.9794907407</v>
      </c>
      <c r="B52" s="312" t="s">
        <v>622</v>
      </c>
      <c r="C52" s="4" t="s">
        <v>623</v>
      </c>
      <c r="D52" s="312" t="s">
        <v>350</v>
      </c>
      <c r="E52" s="312" t="s">
        <v>95</v>
      </c>
      <c r="F52" s="312" t="s">
        <v>96</v>
      </c>
      <c r="H52" s="312" t="s">
        <v>351</v>
      </c>
      <c r="I52" s="312" t="s">
        <v>357</v>
      </c>
      <c r="J52" s="311" t="s">
        <v>624</v>
      </c>
      <c r="K52" s="312" t="s">
        <v>625</v>
      </c>
      <c r="L52" s="312" t="s">
        <v>626</v>
      </c>
      <c r="M52" s="312" t="s">
        <v>627</v>
      </c>
    </row>
    <row r="53" spans="1:13">
      <c r="A53" s="5">
        <v>45499.9995601852</v>
      </c>
      <c r="B53" s="312" t="s">
        <v>628</v>
      </c>
      <c r="C53" s="4" t="s">
        <v>629</v>
      </c>
      <c r="D53" s="312" t="s">
        <v>350</v>
      </c>
      <c r="E53" s="312" t="s">
        <v>115</v>
      </c>
      <c r="F53" s="312" t="s">
        <v>115</v>
      </c>
      <c r="H53" s="312" t="s">
        <v>351</v>
      </c>
      <c r="I53" s="312" t="s">
        <v>357</v>
      </c>
      <c r="J53" s="311" t="s">
        <v>630</v>
      </c>
      <c r="K53" s="312" t="s">
        <v>631</v>
      </c>
      <c r="L53" s="312" t="s">
        <v>632</v>
      </c>
      <c r="M53" s="312" t="s">
        <v>241</v>
      </c>
    </row>
    <row r="54" spans="1:13">
      <c r="A54" s="5">
        <v>45500.021875</v>
      </c>
      <c r="B54" s="312" t="s">
        <v>633</v>
      </c>
      <c r="C54" s="4" t="s">
        <v>634</v>
      </c>
      <c r="D54" s="312" t="s">
        <v>350</v>
      </c>
      <c r="E54" s="312" t="s">
        <v>105</v>
      </c>
      <c r="F54" s="312" t="s">
        <v>106</v>
      </c>
      <c r="I54" s="312" t="s">
        <v>357</v>
      </c>
      <c r="J54" s="311" t="s">
        <v>635</v>
      </c>
      <c r="K54" s="312" t="s">
        <v>636</v>
      </c>
      <c r="L54" s="312" t="s">
        <v>637</v>
      </c>
      <c r="M54" s="312" t="s">
        <v>638</v>
      </c>
    </row>
    <row r="55" spans="1:13">
      <c r="A55" s="5">
        <v>45500.0306365741</v>
      </c>
      <c r="B55" s="312" t="s">
        <v>639</v>
      </c>
      <c r="C55" s="4" t="s">
        <v>640</v>
      </c>
      <c r="D55" s="312" t="s">
        <v>350</v>
      </c>
      <c r="E55" s="312" t="s">
        <v>136</v>
      </c>
      <c r="F55" s="312" t="s">
        <v>136</v>
      </c>
      <c r="G55" s="312" t="s">
        <v>374</v>
      </c>
      <c r="H55" s="312" t="s">
        <v>351</v>
      </c>
      <c r="I55" s="312" t="s">
        <v>357</v>
      </c>
      <c r="J55" s="311" t="s">
        <v>641</v>
      </c>
      <c r="K55" s="312" t="s">
        <v>642</v>
      </c>
      <c r="L55" s="312" t="s">
        <v>643</v>
      </c>
      <c r="M55" s="312" t="s">
        <v>644</v>
      </c>
    </row>
    <row r="56" spans="1:13">
      <c r="A56" s="5">
        <v>45500.441087963</v>
      </c>
      <c r="B56" s="312" t="s">
        <v>645</v>
      </c>
      <c r="C56" s="4" t="s">
        <v>646</v>
      </c>
      <c r="D56" s="312" t="s">
        <v>350</v>
      </c>
      <c r="E56" s="312" t="s">
        <v>137</v>
      </c>
      <c r="F56" s="312" t="s">
        <v>137</v>
      </c>
      <c r="I56" s="312" t="s">
        <v>357</v>
      </c>
      <c r="J56" s="311" t="s">
        <v>647</v>
      </c>
      <c r="K56" s="312" t="s">
        <v>648</v>
      </c>
      <c r="L56" s="312" t="s">
        <v>137</v>
      </c>
      <c r="M56" s="312" t="s">
        <v>649</v>
      </c>
    </row>
    <row r="57" spans="1:13">
      <c r="A57" s="5">
        <v>45500.4579513889</v>
      </c>
      <c r="B57" s="312" t="s">
        <v>650</v>
      </c>
      <c r="C57" s="4" t="s">
        <v>651</v>
      </c>
      <c r="D57" s="312" t="s">
        <v>350</v>
      </c>
      <c r="E57" s="312" t="s">
        <v>107</v>
      </c>
      <c r="F57" s="312" t="s">
        <v>107</v>
      </c>
      <c r="G57" s="312" t="s">
        <v>374</v>
      </c>
      <c r="J57" s="311" t="s">
        <v>652</v>
      </c>
      <c r="K57" s="312" t="s">
        <v>653</v>
      </c>
      <c r="L57" s="312" t="s">
        <v>654</v>
      </c>
      <c r="M57" s="312" t="s">
        <v>655</v>
      </c>
    </row>
    <row r="58" spans="1:13">
      <c r="A58" s="5">
        <v>45500.5807638889</v>
      </c>
      <c r="B58" s="312" t="s">
        <v>656</v>
      </c>
      <c r="C58" s="4" t="s">
        <v>657</v>
      </c>
      <c r="D58" s="312" t="s">
        <v>392</v>
      </c>
      <c r="E58" s="312" t="s">
        <v>11</v>
      </c>
      <c r="F58" s="312" t="s">
        <v>658</v>
      </c>
      <c r="G58" s="312" t="s">
        <v>374</v>
      </c>
      <c r="H58" s="312" t="s">
        <v>351</v>
      </c>
      <c r="I58" s="312" t="s">
        <v>357</v>
      </c>
      <c r="J58" s="311" t="s">
        <v>659</v>
      </c>
      <c r="K58" s="312" t="s">
        <v>660</v>
      </c>
      <c r="L58" s="312" t="s">
        <v>661</v>
      </c>
      <c r="M58" s="312" t="s">
        <v>662</v>
      </c>
    </row>
    <row r="59" spans="1:13">
      <c r="A59" s="5">
        <v>45500.6337152778</v>
      </c>
      <c r="B59" s="312" t="s">
        <v>663</v>
      </c>
      <c r="C59" s="4" t="s">
        <v>664</v>
      </c>
      <c r="D59" s="312" t="s">
        <v>350</v>
      </c>
      <c r="E59" s="312" t="s">
        <v>139</v>
      </c>
      <c r="F59" s="312" t="s">
        <v>140</v>
      </c>
      <c r="G59" s="312" t="s">
        <v>374</v>
      </c>
      <c r="H59" s="312" t="s">
        <v>351</v>
      </c>
      <c r="I59" s="312" t="s">
        <v>357</v>
      </c>
      <c r="J59" s="311" t="s">
        <v>665</v>
      </c>
      <c r="K59" s="312" t="s">
        <v>666</v>
      </c>
      <c r="L59" s="312" t="s">
        <v>667</v>
      </c>
      <c r="M59" s="312" t="s">
        <v>241</v>
      </c>
    </row>
    <row r="60" spans="1:13">
      <c r="A60" s="5">
        <v>45500.6390509259</v>
      </c>
      <c r="B60" s="312" t="s">
        <v>668</v>
      </c>
      <c r="C60" s="4" t="s">
        <v>669</v>
      </c>
      <c r="D60" s="312" t="s">
        <v>350</v>
      </c>
      <c r="E60" s="312" t="s">
        <v>141</v>
      </c>
      <c r="F60" s="312" t="s">
        <v>142</v>
      </c>
      <c r="H60" s="312" t="s">
        <v>351</v>
      </c>
      <c r="I60" s="312" t="s">
        <v>357</v>
      </c>
      <c r="J60" s="311" t="s">
        <v>670</v>
      </c>
      <c r="K60" s="312" t="s">
        <v>671</v>
      </c>
      <c r="L60" s="312" t="s">
        <v>672</v>
      </c>
      <c r="M60" s="312" t="s">
        <v>241</v>
      </c>
    </row>
    <row r="61" spans="1:13">
      <c r="A61" s="5">
        <v>45500.6427314815</v>
      </c>
      <c r="B61" s="312" t="s">
        <v>673</v>
      </c>
      <c r="C61" s="4" t="s">
        <v>674</v>
      </c>
      <c r="D61" s="312" t="s">
        <v>350</v>
      </c>
      <c r="E61" s="312" t="s">
        <v>143</v>
      </c>
      <c r="F61" s="312" t="s">
        <v>144</v>
      </c>
      <c r="G61" s="312" t="s">
        <v>374</v>
      </c>
      <c r="I61" s="312" t="s">
        <v>357</v>
      </c>
      <c r="J61" s="311" t="s">
        <v>675</v>
      </c>
      <c r="K61" s="312" t="s">
        <v>676</v>
      </c>
      <c r="L61" s="312" t="s">
        <v>677</v>
      </c>
      <c r="M61" s="312" t="s">
        <v>678</v>
      </c>
    </row>
    <row r="62" spans="1:13">
      <c r="A62" s="5">
        <v>45500.6551967593</v>
      </c>
      <c r="B62" s="312" t="s">
        <v>679</v>
      </c>
      <c r="C62" s="4" t="s">
        <v>596</v>
      </c>
      <c r="D62" s="312" t="s">
        <v>350</v>
      </c>
      <c r="E62" s="312" t="s">
        <v>99</v>
      </c>
      <c r="F62" s="312" t="s">
        <v>100</v>
      </c>
      <c r="H62" s="312" t="s">
        <v>351</v>
      </c>
      <c r="I62" s="312" t="s">
        <v>357</v>
      </c>
      <c r="J62" s="311" t="s">
        <v>680</v>
      </c>
      <c r="K62" s="312" t="s">
        <v>681</v>
      </c>
      <c r="L62" s="312" t="s">
        <v>682</v>
      </c>
      <c r="M62" s="312" t="s">
        <v>683</v>
      </c>
    </row>
    <row r="63" spans="1:13">
      <c r="A63" s="5">
        <v>45500.7392476852</v>
      </c>
      <c r="B63" s="312" t="s">
        <v>684</v>
      </c>
      <c r="C63" s="4" t="s">
        <v>685</v>
      </c>
      <c r="D63" s="312" t="s">
        <v>350</v>
      </c>
      <c r="E63" s="312" t="s">
        <v>145</v>
      </c>
      <c r="F63" s="312" t="s">
        <v>146</v>
      </c>
      <c r="H63" s="312" t="s">
        <v>351</v>
      </c>
      <c r="I63" s="312" t="s">
        <v>357</v>
      </c>
      <c r="J63" s="311" t="s">
        <v>686</v>
      </c>
      <c r="K63" s="312" t="s">
        <v>687</v>
      </c>
      <c r="L63" s="312" t="s">
        <v>688</v>
      </c>
      <c r="M63" s="312" t="s">
        <v>689</v>
      </c>
    </row>
    <row r="64" spans="1:13">
      <c r="A64" s="5">
        <v>45500.8911342593</v>
      </c>
      <c r="B64" s="312" t="s">
        <v>690</v>
      </c>
      <c r="C64" s="4" t="s">
        <v>691</v>
      </c>
      <c r="D64" s="312" t="s">
        <v>350</v>
      </c>
      <c r="E64" s="312" t="s">
        <v>116</v>
      </c>
      <c r="F64" s="312" t="s">
        <v>117</v>
      </c>
      <c r="H64" s="312" t="s">
        <v>351</v>
      </c>
      <c r="J64" s="311" t="s">
        <v>692</v>
      </c>
      <c r="K64" s="312" t="s">
        <v>693</v>
      </c>
      <c r="L64" s="312" t="s">
        <v>694</v>
      </c>
      <c r="M64" s="312" t="s">
        <v>695</v>
      </c>
    </row>
    <row r="65" spans="1:13">
      <c r="A65" s="5">
        <v>45501.531412037</v>
      </c>
      <c r="B65" s="312" t="s">
        <v>696</v>
      </c>
      <c r="C65" s="4" t="s">
        <v>697</v>
      </c>
      <c r="D65" s="312" t="s">
        <v>350</v>
      </c>
      <c r="E65" s="6" t="s">
        <v>91</v>
      </c>
      <c r="F65" s="312" t="s">
        <v>92</v>
      </c>
      <c r="G65" s="312" t="s">
        <v>374</v>
      </c>
      <c r="H65" s="312" t="s">
        <v>351</v>
      </c>
      <c r="I65" s="312" t="s">
        <v>357</v>
      </c>
      <c r="J65" s="311" t="s">
        <v>698</v>
      </c>
      <c r="K65" s="312" t="s">
        <v>699</v>
      </c>
      <c r="L65" s="312" t="s">
        <v>700</v>
      </c>
      <c r="M65" s="312" t="s">
        <v>701</v>
      </c>
    </row>
    <row r="66" spans="1:13">
      <c r="A66" s="5">
        <v>45501.6219212963</v>
      </c>
      <c r="B66" s="312" t="s">
        <v>702</v>
      </c>
      <c r="C66" s="4" t="s">
        <v>703</v>
      </c>
      <c r="D66" s="312" t="s">
        <v>350</v>
      </c>
      <c r="E66" s="312" t="s">
        <v>147</v>
      </c>
      <c r="F66" s="312" t="s">
        <v>148</v>
      </c>
      <c r="G66" s="312" t="s">
        <v>374</v>
      </c>
      <c r="I66" s="312" t="s">
        <v>357</v>
      </c>
      <c r="J66" s="311" t="s">
        <v>704</v>
      </c>
      <c r="K66" s="312" t="s">
        <v>705</v>
      </c>
      <c r="L66" s="312" t="s">
        <v>706</v>
      </c>
      <c r="M66" s="312" t="s">
        <v>707</v>
      </c>
    </row>
    <row r="67" spans="1:13">
      <c r="A67" s="5">
        <v>45501.7269675926</v>
      </c>
      <c r="B67" s="312" t="s">
        <v>708</v>
      </c>
      <c r="C67" s="4" t="s">
        <v>709</v>
      </c>
      <c r="D67" s="312" t="s">
        <v>350</v>
      </c>
      <c r="E67" s="312" t="s">
        <v>149</v>
      </c>
      <c r="F67" s="312" t="s">
        <v>149</v>
      </c>
      <c r="I67" s="312" t="s">
        <v>357</v>
      </c>
      <c r="J67" s="311" t="s">
        <v>710</v>
      </c>
      <c r="K67" s="312" t="s">
        <v>711</v>
      </c>
      <c r="L67" s="312" t="s">
        <v>712</v>
      </c>
      <c r="M67" s="312" t="s">
        <v>241</v>
      </c>
    </row>
    <row r="68" spans="1:13">
      <c r="A68" s="5">
        <v>45501.8803125</v>
      </c>
      <c r="B68" s="312" t="s">
        <v>713</v>
      </c>
      <c r="C68" s="4" t="s">
        <v>714</v>
      </c>
      <c r="D68" s="312" t="s">
        <v>350</v>
      </c>
      <c r="E68" s="312" t="s">
        <v>27</v>
      </c>
      <c r="F68" s="312" t="s">
        <v>28</v>
      </c>
      <c r="H68" s="312" t="s">
        <v>351</v>
      </c>
      <c r="I68" s="312" t="s">
        <v>357</v>
      </c>
      <c r="J68" s="311" t="s">
        <v>715</v>
      </c>
      <c r="K68" s="312" t="s">
        <v>716</v>
      </c>
      <c r="L68" s="312" t="s">
        <v>506</v>
      </c>
      <c r="M68" s="312" t="s">
        <v>241</v>
      </c>
    </row>
    <row r="69" ht="18.75" customHeight="1" spans="1:13">
      <c r="A69" s="5">
        <v>45501.952962963</v>
      </c>
      <c r="B69" s="312" t="s">
        <v>717</v>
      </c>
      <c r="C69" s="4" t="s">
        <v>718</v>
      </c>
      <c r="D69" s="312" t="s">
        <v>392</v>
      </c>
      <c r="E69" s="312" t="s">
        <v>719</v>
      </c>
      <c r="F69" s="7" t="s">
        <v>720</v>
      </c>
      <c r="G69" s="312" t="s">
        <v>374</v>
      </c>
      <c r="H69" s="312" t="s">
        <v>351</v>
      </c>
      <c r="I69" s="312" t="s">
        <v>357</v>
      </c>
      <c r="J69" s="311" t="s">
        <v>721</v>
      </c>
      <c r="K69" s="312" t="s">
        <v>722</v>
      </c>
      <c r="L69" s="312" t="s">
        <v>723</v>
      </c>
      <c r="M69" s="312" t="s">
        <v>241</v>
      </c>
    </row>
    <row r="70" spans="1:13">
      <c r="A70" s="5">
        <v>45501.9541087963</v>
      </c>
      <c r="B70" s="312" t="s">
        <v>724</v>
      </c>
      <c r="C70" s="4" t="s">
        <v>725</v>
      </c>
      <c r="D70" s="312" t="s">
        <v>350</v>
      </c>
      <c r="E70" s="312" t="s">
        <v>111</v>
      </c>
      <c r="F70" s="312" t="s">
        <v>112</v>
      </c>
      <c r="I70" s="312" t="s">
        <v>357</v>
      </c>
      <c r="J70" s="311" t="s">
        <v>726</v>
      </c>
      <c r="K70" s="3">
        <v>5537338</v>
      </c>
      <c r="L70" s="312" t="s">
        <v>727</v>
      </c>
      <c r="M70" s="312" t="s">
        <v>241</v>
      </c>
    </row>
    <row r="71" spans="1:13">
      <c r="A71" s="5">
        <v>45501.992349537</v>
      </c>
      <c r="B71" s="312" t="s">
        <v>728</v>
      </c>
      <c r="C71" s="4" t="s">
        <v>729</v>
      </c>
      <c r="D71" s="312" t="s">
        <v>350</v>
      </c>
      <c r="E71" s="312" t="s">
        <v>29</v>
      </c>
      <c r="F71" s="312" t="s">
        <v>30</v>
      </c>
      <c r="G71" s="312" t="s">
        <v>374</v>
      </c>
      <c r="H71" s="312" t="s">
        <v>351</v>
      </c>
      <c r="I71" s="312" t="s">
        <v>357</v>
      </c>
      <c r="J71" s="311" t="s">
        <v>730</v>
      </c>
      <c r="K71" s="312" t="s">
        <v>731</v>
      </c>
      <c r="L71" s="312" t="s">
        <v>30</v>
      </c>
      <c r="M71" s="312" t="s">
        <v>732</v>
      </c>
    </row>
    <row r="72" spans="1:13">
      <c r="A72" s="5">
        <v>45502.1045138889</v>
      </c>
      <c r="B72" s="312" t="s">
        <v>733</v>
      </c>
      <c r="C72" s="4" t="s">
        <v>734</v>
      </c>
      <c r="D72" s="313" t="s">
        <v>392</v>
      </c>
      <c r="E72" s="312" t="s">
        <v>19</v>
      </c>
      <c r="F72" s="312" t="s">
        <v>19</v>
      </c>
      <c r="G72" s="312" t="s">
        <v>374</v>
      </c>
      <c r="I72" s="312" t="s">
        <v>357</v>
      </c>
      <c r="J72" s="311" t="s">
        <v>735</v>
      </c>
      <c r="K72" s="312" t="s">
        <v>736</v>
      </c>
      <c r="L72" s="312" t="s">
        <v>737</v>
      </c>
      <c r="M72" s="312" t="s">
        <v>241</v>
      </c>
    </row>
    <row r="73" spans="1:13">
      <c r="A73" s="5">
        <v>45502.2006828704</v>
      </c>
      <c r="B73" s="312" t="s">
        <v>738</v>
      </c>
      <c r="C73" s="4" t="s">
        <v>739</v>
      </c>
      <c r="D73" s="312" t="s">
        <v>350</v>
      </c>
      <c r="E73" s="312" t="s">
        <v>113</v>
      </c>
      <c r="F73" s="312" t="s">
        <v>114</v>
      </c>
      <c r="H73" s="312" t="s">
        <v>351</v>
      </c>
      <c r="I73" s="312" t="s">
        <v>357</v>
      </c>
      <c r="J73" s="311" t="s">
        <v>740</v>
      </c>
      <c r="K73" s="312" t="s">
        <v>741</v>
      </c>
      <c r="L73" s="312" t="s">
        <v>742</v>
      </c>
      <c r="M73" s="312" t="s">
        <v>743</v>
      </c>
    </row>
    <row r="74" spans="1:13">
      <c r="A74" s="5">
        <v>45502.3926041667</v>
      </c>
      <c r="B74" s="312" t="s">
        <v>744</v>
      </c>
      <c r="C74" s="4" t="s">
        <v>745</v>
      </c>
      <c r="D74" s="312" t="s">
        <v>350</v>
      </c>
      <c r="E74" s="312" t="s">
        <v>152</v>
      </c>
      <c r="F74" s="312" t="s">
        <v>152</v>
      </c>
      <c r="G74" s="312" t="s">
        <v>374</v>
      </c>
      <c r="I74" s="312" t="s">
        <v>357</v>
      </c>
      <c r="J74" s="311" t="s">
        <v>746</v>
      </c>
      <c r="K74" s="312" t="s">
        <v>747</v>
      </c>
      <c r="L74" s="312" t="s">
        <v>748</v>
      </c>
      <c r="M74" s="312" t="s">
        <v>749</v>
      </c>
    </row>
    <row r="75" spans="1:13">
      <c r="A75" s="5">
        <v>45502.4574884259</v>
      </c>
      <c r="B75" s="312" t="s">
        <v>750</v>
      </c>
      <c r="C75" s="4" t="s">
        <v>751</v>
      </c>
      <c r="D75" s="312" t="s">
        <v>350</v>
      </c>
      <c r="E75" s="312" t="s">
        <v>153</v>
      </c>
      <c r="F75" s="312" t="s">
        <v>154</v>
      </c>
      <c r="I75" s="312" t="s">
        <v>357</v>
      </c>
      <c r="J75" s="311" t="s">
        <v>752</v>
      </c>
      <c r="K75" s="312" t="s">
        <v>753</v>
      </c>
      <c r="L75" s="312" t="s">
        <v>754</v>
      </c>
      <c r="M75" s="312" t="s">
        <v>241</v>
      </c>
    </row>
    <row r="76" spans="1:13">
      <c r="A76" s="5">
        <v>45502.5736458333</v>
      </c>
      <c r="B76" s="312" t="s">
        <v>755</v>
      </c>
      <c r="C76" s="4" t="s">
        <v>657</v>
      </c>
      <c r="D76" s="312" t="s">
        <v>350</v>
      </c>
      <c r="E76" s="312" t="s">
        <v>150</v>
      </c>
      <c r="F76" s="312" t="s">
        <v>151</v>
      </c>
      <c r="I76" s="312" t="s">
        <v>357</v>
      </c>
      <c r="J76" s="311" t="s">
        <v>756</v>
      </c>
      <c r="K76" s="312" t="s">
        <v>757</v>
      </c>
      <c r="L76" s="312" t="s">
        <v>758</v>
      </c>
      <c r="M76" s="312" t="s">
        <v>759</v>
      </c>
    </row>
    <row r="77" spans="1:13">
      <c r="A77" s="5">
        <v>45502.6470949074</v>
      </c>
      <c r="B77" s="312" t="s">
        <v>760</v>
      </c>
      <c r="C77" s="4" t="s">
        <v>761</v>
      </c>
      <c r="D77" s="312" t="s">
        <v>350</v>
      </c>
      <c r="E77" s="312" t="s">
        <v>124</v>
      </c>
      <c r="F77" s="312" t="s">
        <v>762</v>
      </c>
      <c r="G77" s="312" t="s">
        <v>374</v>
      </c>
      <c r="H77" s="312" t="s">
        <v>351</v>
      </c>
      <c r="I77" s="312" t="s">
        <v>357</v>
      </c>
      <c r="J77" s="311" t="s">
        <v>763</v>
      </c>
      <c r="K77" s="312" t="s">
        <v>764</v>
      </c>
      <c r="L77" s="312" t="s">
        <v>124</v>
      </c>
      <c r="M77" s="312" t="s">
        <v>600</v>
      </c>
    </row>
    <row r="78" spans="1:13">
      <c r="A78" s="5">
        <v>45502.6787615741</v>
      </c>
      <c r="B78" s="312" t="s">
        <v>765</v>
      </c>
      <c r="C78" s="4" t="s">
        <v>640</v>
      </c>
      <c r="D78" s="312" t="s">
        <v>350</v>
      </c>
      <c r="E78" s="312" t="s">
        <v>126</v>
      </c>
      <c r="F78" s="312" t="s">
        <v>126</v>
      </c>
      <c r="G78" s="312" t="s">
        <v>374</v>
      </c>
      <c r="I78" s="312" t="s">
        <v>357</v>
      </c>
      <c r="J78" s="311" t="s">
        <v>766</v>
      </c>
      <c r="K78" s="312" t="s">
        <v>767</v>
      </c>
      <c r="L78" s="312" t="s">
        <v>766</v>
      </c>
      <c r="M78" s="312" t="s">
        <v>241</v>
      </c>
    </row>
    <row r="79" spans="1:13">
      <c r="A79" s="5">
        <v>45502.6990856481</v>
      </c>
      <c r="B79" s="312" t="s">
        <v>768</v>
      </c>
      <c r="C79" s="4" t="s">
        <v>769</v>
      </c>
      <c r="D79" s="312" t="s">
        <v>350</v>
      </c>
      <c r="E79" s="312" t="s">
        <v>80</v>
      </c>
      <c r="F79" s="312" t="s">
        <v>81</v>
      </c>
      <c r="H79" s="312" t="s">
        <v>351</v>
      </c>
      <c r="J79" s="311" t="s">
        <v>770</v>
      </c>
      <c r="K79" s="312" t="s">
        <v>771</v>
      </c>
      <c r="L79" s="312" t="s">
        <v>772</v>
      </c>
      <c r="M79" s="312" t="s">
        <v>241</v>
      </c>
    </row>
    <row r="80" spans="1:13">
      <c r="A80" s="5">
        <v>45502.706724537</v>
      </c>
      <c r="B80" s="312" t="s">
        <v>773</v>
      </c>
      <c r="C80" s="4" t="s">
        <v>596</v>
      </c>
      <c r="D80" s="312" t="s">
        <v>350</v>
      </c>
      <c r="E80" s="312" t="s">
        <v>155</v>
      </c>
      <c r="F80" s="312" t="s">
        <v>156</v>
      </c>
      <c r="H80" s="312" t="s">
        <v>351</v>
      </c>
      <c r="I80" s="312" t="s">
        <v>357</v>
      </c>
      <c r="J80" s="311" t="s">
        <v>774</v>
      </c>
      <c r="K80" s="312" t="s">
        <v>775</v>
      </c>
      <c r="L80" s="312" t="s">
        <v>776</v>
      </c>
      <c r="M80" s="312" t="s">
        <v>777</v>
      </c>
    </row>
    <row r="81" spans="1:13">
      <c r="A81" s="5">
        <v>45502.7448148148</v>
      </c>
      <c r="B81" s="312" t="s">
        <v>778</v>
      </c>
      <c r="C81" s="4" t="s">
        <v>779</v>
      </c>
      <c r="D81" s="312" t="s">
        <v>350</v>
      </c>
      <c r="E81" s="312" t="s">
        <v>61</v>
      </c>
      <c r="F81" s="312" t="s">
        <v>62</v>
      </c>
      <c r="I81" s="312" t="s">
        <v>357</v>
      </c>
      <c r="J81" s="311" t="s">
        <v>780</v>
      </c>
      <c r="K81" s="312" t="s">
        <v>781</v>
      </c>
      <c r="L81" s="312" t="s">
        <v>782</v>
      </c>
      <c r="M81" s="312" t="s">
        <v>241</v>
      </c>
    </row>
    <row r="82" spans="1:13">
      <c r="A82" s="5">
        <v>45502.7688078704</v>
      </c>
      <c r="B82" s="312" t="s">
        <v>783</v>
      </c>
      <c r="C82" s="4" t="s">
        <v>657</v>
      </c>
      <c r="D82" s="312" t="s">
        <v>350</v>
      </c>
      <c r="E82" s="312" t="s">
        <v>63</v>
      </c>
      <c r="F82" s="312" t="s">
        <v>64</v>
      </c>
      <c r="G82" s="312" t="s">
        <v>374</v>
      </c>
      <c r="H82" s="312" t="s">
        <v>351</v>
      </c>
      <c r="I82" s="312" t="s">
        <v>357</v>
      </c>
      <c r="J82" s="311" t="s">
        <v>784</v>
      </c>
      <c r="K82" s="312" t="s">
        <v>785</v>
      </c>
      <c r="L82" s="312" t="s">
        <v>786</v>
      </c>
      <c r="M82" s="312" t="s">
        <v>787</v>
      </c>
    </row>
    <row r="83" spans="1:13">
      <c r="A83" s="5">
        <v>45502.8060763889</v>
      </c>
      <c r="B83" s="312" t="s">
        <v>788</v>
      </c>
      <c r="C83" s="4" t="s">
        <v>789</v>
      </c>
      <c r="D83" s="312" t="s">
        <v>350</v>
      </c>
      <c r="E83" s="6" t="s">
        <v>157</v>
      </c>
      <c r="F83" s="312" t="s">
        <v>157</v>
      </c>
      <c r="I83" s="312" t="s">
        <v>357</v>
      </c>
      <c r="J83" s="311" t="s">
        <v>790</v>
      </c>
      <c r="K83" s="312" t="s">
        <v>791</v>
      </c>
      <c r="L83" s="313" t="s">
        <v>792</v>
      </c>
      <c r="M83" s="312" t="s">
        <v>793</v>
      </c>
    </row>
    <row r="84" spans="1:13">
      <c r="A84" s="5">
        <v>45502.8569675926</v>
      </c>
      <c r="B84" s="312" t="s">
        <v>794</v>
      </c>
      <c r="C84" s="4" t="s">
        <v>617</v>
      </c>
      <c r="D84" s="312" t="s">
        <v>350</v>
      </c>
      <c r="E84" s="312" t="s">
        <v>65</v>
      </c>
      <c r="F84" s="312" t="s">
        <v>66</v>
      </c>
      <c r="G84" s="312" t="s">
        <v>374</v>
      </c>
      <c r="J84" s="311" t="s">
        <v>795</v>
      </c>
      <c r="K84" s="312" t="s">
        <v>796</v>
      </c>
      <c r="L84" s="312" t="s">
        <v>797</v>
      </c>
      <c r="M84" s="312" t="s">
        <v>798</v>
      </c>
    </row>
    <row r="85" spans="1:13">
      <c r="A85" s="5">
        <v>45502.880150463</v>
      </c>
      <c r="B85" s="312" t="s">
        <v>799</v>
      </c>
      <c r="C85" s="4" t="s">
        <v>800</v>
      </c>
      <c r="D85" s="312" t="s">
        <v>350</v>
      </c>
      <c r="E85" s="312" t="s">
        <v>67</v>
      </c>
      <c r="F85" s="312" t="s">
        <v>67</v>
      </c>
      <c r="I85" s="312" t="s">
        <v>357</v>
      </c>
      <c r="J85" s="311" t="s">
        <v>801</v>
      </c>
      <c r="K85" s="312" t="s">
        <v>802</v>
      </c>
      <c r="L85" s="312" t="s">
        <v>803</v>
      </c>
      <c r="M85" s="312" t="s">
        <v>804</v>
      </c>
    </row>
    <row r="86" spans="1:13">
      <c r="A86" s="5">
        <v>45502.9037384259</v>
      </c>
      <c r="B86" s="312" t="s">
        <v>805</v>
      </c>
      <c r="C86" s="4" t="s">
        <v>806</v>
      </c>
      <c r="D86" s="312" t="s">
        <v>350</v>
      </c>
      <c r="E86" s="312" t="s">
        <v>93</v>
      </c>
      <c r="F86" s="312" t="s">
        <v>94</v>
      </c>
      <c r="G86" s="312" t="s">
        <v>374</v>
      </c>
      <c r="J86" s="311" t="s">
        <v>807</v>
      </c>
      <c r="K86" s="312" t="s">
        <v>808</v>
      </c>
      <c r="L86" s="312" t="s">
        <v>809</v>
      </c>
      <c r="M86" s="312" t="s">
        <v>810</v>
      </c>
    </row>
    <row r="87" spans="1:13">
      <c r="A87" s="5">
        <v>45502.9337384259</v>
      </c>
      <c r="B87" s="312" t="s">
        <v>811</v>
      </c>
      <c r="C87" s="4" t="s">
        <v>629</v>
      </c>
      <c r="D87" s="312" t="s">
        <v>350</v>
      </c>
      <c r="E87" s="312" t="s">
        <v>68</v>
      </c>
      <c r="F87" s="312" t="s">
        <v>69</v>
      </c>
      <c r="G87" s="312" t="s">
        <v>374</v>
      </c>
      <c r="I87" s="312" t="s">
        <v>357</v>
      </c>
      <c r="J87" s="315" t="s">
        <v>812</v>
      </c>
      <c r="K87" s="312" t="s">
        <v>813</v>
      </c>
      <c r="L87" s="312" t="s">
        <v>814</v>
      </c>
      <c r="M87" s="312" t="s">
        <v>815</v>
      </c>
    </row>
    <row r="88" spans="1:13">
      <c r="A88" s="5">
        <v>45503.0145023148</v>
      </c>
      <c r="B88" s="312" t="s">
        <v>816</v>
      </c>
      <c r="C88" s="4" t="s">
        <v>817</v>
      </c>
      <c r="D88" s="312" t="s">
        <v>350</v>
      </c>
      <c r="E88" s="312" t="s">
        <v>138</v>
      </c>
      <c r="F88" s="312" t="s">
        <v>138</v>
      </c>
      <c r="G88" s="312" t="s">
        <v>374</v>
      </c>
      <c r="H88" s="312" t="s">
        <v>351</v>
      </c>
      <c r="I88" s="312" t="s">
        <v>357</v>
      </c>
      <c r="J88" s="311" t="s">
        <v>818</v>
      </c>
      <c r="K88" s="312" t="s">
        <v>819</v>
      </c>
      <c r="L88" s="312" t="s">
        <v>820</v>
      </c>
      <c r="M88" s="312" t="s">
        <v>821</v>
      </c>
    </row>
    <row r="89" spans="1:13">
      <c r="A89" s="5">
        <v>45503.4789351852</v>
      </c>
      <c r="B89" s="312" t="s">
        <v>822</v>
      </c>
      <c r="C89" s="4" t="s">
        <v>725</v>
      </c>
      <c r="D89" s="312" t="s">
        <v>350</v>
      </c>
      <c r="E89" s="312" t="s">
        <v>59</v>
      </c>
      <c r="F89" s="312" t="s">
        <v>60</v>
      </c>
      <c r="G89" s="312" t="s">
        <v>374</v>
      </c>
      <c r="H89" s="312" t="s">
        <v>351</v>
      </c>
      <c r="I89" s="312" t="s">
        <v>357</v>
      </c>
      <c r="J89" s="311" t="s">
        <v>823</v>
      </c>
      <c r="K89" s="313" t="s">
        <v>824</v>
      </c>
      <c r="L89" s="312" t="s">
        <v>825</v>
      </c>
      <c r="M89" s="312" t="s">
        <v>826</v>
      </c>
    </row>
    <row r="90" spans="1:13">
      <c r="A90" s="5">
        <v>45503.4911111111</v>
      </c>
      <c r="B90" s="312" t="s">
        <v>827</v>
      </c>
      <c r="C90" s="4" t="s">
        <v>519</v>
      </c>
      <c r="D90" s="312" t="s">
        <v>350</v>
      </c>
      <c r="E90" s="312" t="s">
        <v>108</v>
      </c>
      <c r="F90" s="312" t="s">
        <v>109</v>
      </c>
      <c r="G90" s="312" t="s">
        <v>374</v>
      </c>
      <c r="J90" s="311" t="s">
        <v>828</v>
      </c>
      <c r="K90" s="312" t="s">
        <v>829</v>
      </c>
      <c r="L90" s="312" t="s">
        <v>830</v>
      </c>
      <c r="M90" s="312" t="s">
        <v>506</v>
      </c>
    </row>
    <row r="91" spans="1:13">
      <c r="A91" s="5">
        <v>45503.5401967593</v>
      </c>
      <c r="B91" s="312" t="s">
        <v>831</v>
      </c>
      <c r="C91" s="4" t="s">
        <v>832</v>
      </c>
      <c r="D91" s="312" t="s">
        <v>350</v>
      </c>
      <c r="E91" s="312" t="s">
        <v>110</v>
      </c>
      <c r="F91" s="312" t="s">
        <v>110</v>
      </c>
      <c r="G91" s="312" t="s">
        <v>374</v>
      </c>
      <c r="H91" s="312" t="s">
        <v>351</v>
      </c>
      <c r="I91" s="312" t="s">
        <v>357</v>
      </c>
      <c r="J91" s="311" t="s">
        <v>833</v>
      </c>
      <c r="K91" s="312" t="s">
        <v>834</v>
      </c>
      <c r="L91" s="312" t="s">
        <v>835</v>
      </c>
      <c r="M91" s="312" t="s">
        <v>836</v>
      </c>
    </row>
    <row r="92" s="1" customFormat="1" spans="1:12">
      <c r="A92" s="10">
        <v>45504.5401967593</v>
      </c>
      <c r="D92" s="1" t="s">
        <v>350</v>
      </c>
      <c r="E92" s="1" t="s">
        <v>163</v>
      </c>
      <c r="F92" s="1" t="s">
        <v>164</v>
      </c>
      <c r="I92" s="1" t="s">
        <v>357</v>
      </c>
      <c r="J92" s="12">
        <v>2086440079</v>
      </c>
      <c r="K92" s="1">
        <v>2106531</v>
      </c>
      <c r="L92" s="1" t="s">
        <v>837</v>
      </c>
    </row>
    <row r="93" s="1" customFormat="1" spans="1:13">
      <c r="A93" s="10">
        <v>45504.5401967593</v>
      </c>
      <c r="D93" s="1" t="s">
        <v>350</v>
      </c>
      <c r="E93" s="1" t="s">
        <v>165</v>
      </c>
      <c r="F93" s="1" t="s">
        <v>165</v>
      </c>
      <c r="G93" s="1" t="s">
        <v>374</v>
      </c>
      <c r="I93" s="1" t="s">
        <v>357</v>
      </c>
      <c r="J93" s="12">
        <v>3280429099</v>
      </c>
      <c r="K93" s="1">
        <v>4278417</v>
      </c>
      <c r="L93" s="1" t="s">
        <v>165</v>
      </c>
      <c r="M93" s="1" t="s">
        <v>838</v>
      </c>
    </row>
    <row r="94" s="1" customFormat="1" spans="1:13">
      <c r="A94" s="10">
        <v>45504.57625</v>
      </c>
      <c r="B94" s="316" t="s">
        <v>839</v>
      </c>
      <c r="C94" s="1" t="s">
        <v>840</v>
      </c>
      <c r="D94" s="316" t="s">
        <v>350</v>
      </c>
      <c r="E94" s="316" t="s">
        <v>166</v>
      </c>
      <c r="F94" s="316" t="s">
        <v>167</v>
      </c>
      <c r="H94" s="316" t="s">
        <v>351</v>
      </c>
      <c r="I94" s="316" t="s">
        <v>357</v>
      </c>
      <c r="J94" s="317" t="s">
        <v>841</v>
      </c>
      <c r="K94" s="316" t="s">
        <v>842</v>
      </c>
      <c r="L94" s="316" t="s">
        <v>843</v>
      </c>
      <c r="M94" s="316" t="s">
        <v>844</v>
      </c>
    </row>
    <row r="95" s="1" customFormat="1" spans="1:13">
      <c r="A95" s="10">
        <v>45504.6146296296</v>
      </c>
      <c r="B95" s="316" t="s">
        <v>845</v>
      </c>
      <c r="C95" s="1" t="s">
        <v>846</v>
      </c>
      <c r="D95" s="316" t="s">
        <v>350</v>
      </c>
      <c r="E95" s="316" t="s">
        <v>168</v>
      </c>
      <c r="F95" s="316" t="s">
        <v>168</v>
      </c>
      <c r="I95" s="316" t="s">
        <v>357</v>
      </c>
      <c r="J95" s="317" t="s">
        <v>847</v>
      </c>
      <c r="K95" s="316" t="s">
        <v>848</v>
      </c>
      <c r="L95" s="316" t="s">
        <v>849</v>
      </c>
      <c r="M95" s="316" t="s">
        <v>850</v>
      </c>
    </row>
    <row r="96" s="1" customFormat="1" spans="1:13">
      <c r="A96" s="10">
        <v>45504.6625115741</v>
      </c>
      <c r="B96" s="316" t="s">
        <v>851</v>
      </c>
      <c r="C96" s="1" t="s">
        <v>751</v>
      </c>
      <c r="D96" s="316" t="s">
        <v>350</v>
      </c>
      <c r="E96" s="316" t="s">
        <v>169</v>
      </c>
      <c r="F96" s="316" t="s">
        <v>170</v>
      </c>
      <c r="H96" s="316" t="s">
        <v>351</v>
      </c>
      <c r="J96" s="317" t="s">
        <v>852</v>
      </c>
      <c r="K96" s="316" t="s">
        <v>853</v>
      </c>
      <c r="L96" s="316" t="s">
        <v>854</v>
      </c>
      <c r="M96" s="316" t="s">
        <v>855</v>
      </c>
    </row>
    <row r="97" s="1" customFormat="1" spans="1:13">
      <c r="A97" s="10">
        <v>45504.676875</v>
      </c>
      <c r="B97" s="316" t="s">
        <v>856</v>
      </c>
      <c r="C97" s="1" t="s">
        <v>857</v>
      </c>
      <c r="D97" s="316" t="s">
        <v>350</v>
      </c>
      <c r="E97" s="316" t="s">
        <v>171</v>
      </c>
      <c r="F97" s="316" t="s">
        <v>172</v>
      </c>
      <c r="G97" s="316" t="s">
        <v>374</v>
      </c>
      <c r="I97" s="316" t="s">
        <v>357</v>
      </c>
      <c r="J97" s="317" t="s">
        <v>858</v>
      </c>
      <c r="K97" s="316" t="s">
        <v>859</v>
      </c>
      <c r="L97" s="316" t="s">
        <v>860</v>
      </c>
      <c r="M97" s="316" t="s">
        <v>861</v>
      </c>
    </row>
    <row r="98" s="1" customFormat="1" spans="1:13">
      <c r="A98" s="10">
        <v>45505.7505092593</v>
      </c>
      <c r="B98" s="316" t="s">
        <v>862</v>
      </c>
      <c r="C98" s="1" t="s">
        <v>526</v>
      </c>
      <c r="D98" s="316" t="s">
        <v>350</v>
      </c>
      <c r="E98" s="316" t="s">
        <v>173</v>
      </c>
      <c r="F98" s="316" t="s">
        <v>173</v>
      </c>
      <c r="I98" s="316" t="s">
        <v>357</v>
      </c>
      <c r="J98" s="317" t="s">
        <v>863</v>
      </c>
      <c r="K98" s="316" t="s">
        <v>864</v>
      </c>
      <c r="L98" s="316" t="s">
        <v>865</v>
      </c>
      <c r="M98" s="316" t="s">
        <v>241</v>
      </c>
    </row>
    <row r="99" s="1" customFormat="1" spans="1:13">
      <c r="A99" s="10">
        <v>45506.6183796296</v>
      </c>
      <c r="B99" s="316" t="s">
        <v>866</v>
      </c>
      <c r="C99" s="1" t="s">
        <v>867</v>
      </c>
      <c r="D99" s="316" t="s">
        <v>350</v>
      </c>
      <c r="E99" s="316" t="s">
        <v>174</v>
      </c>
      <c r="F99" s="316" t="s">
        <v>175</v>
      </c>
      <c r="G99" s="316" t="s">
        <v>374</v>
      </c>
      <c r="I99" s="316" t="s">
        <v>357</v>
      </c>
      <c r="J99" s="317" t="s">
        <v>868</v>
      </c>
      <c r="K99" s="316" t="s">
        <v>869</v>
      </c>
      <c r="L99" s="316" t="s">
        <v>870</v>
      </c>
      <c r="M99" s="316" t="s">
        <v>241</v>
      </c>
    </row>
    <row r="100" s="1" customFormat="1" spans="1:13">
      <c r="A100" s="10">
        <v>45506.8797337963</v>
      </c>
      <c r="B100" s="316" t="s">
        <v>871</v>
      </c>
      <c r="C100" s="1" t="s">
        <v>872</v>
      </c>
      <c r="D100" s="316" t="s">
        <v>350</v>
      </c>
      <c r="E100" s="316" t="s">
        <v>176</v>
      </c>
      <c r="F100" s="316" t="s">
        <v>177</v>
      </c>
      <c r="G100" s="316" t="s">
        <v>374</v>
      </c>
      <c r="H100" s="316" t="s">
        <v>351</v>
      </c>
      <c r="I100" s="316" t="s">
        <v>357</v>
      </c>
      <c r="J100" s="317" t="s">
        <v>873</v>
      </c>
      <c r="K100" s="316" t="s">
        <v>874</v>
      </c>
      <c r="L100" s="316" t="s">
        <v>875</v>
      </c>
      <c r="M100" s="316" t="s">
        <v>241</v>
      </c>
    </row>
    <row r="101" s="1" customFormat="1" spans="1:13">
      <c r="A101" s="10">
        <v>45506.8828009259</v>
      </c>
      <c r="B101" s="316" t="s">
        <v>876</v>
      </c>
      <c r="C101" s="1" t="s">
        <v>745</v>
      </c>
      <c r="D101" s="316" t="s">
        <v>350</v>
      </c>
      <c r="E101" s="316" t="s">
        <v>178</v>
      </c>
      <c r="F101" s="316" t="s">
        <v>179</v>
      </c>
      <c r="G101" s="316" t="s">
        <v>374</v>
      </c>
      <c r="H101" s="316" t="s">
        <v>351</v>
      </c>
      <c r="J101" s="317" t="s">
        <v>877</v>
      </c>
      <c r="K101" s="316" t="s">
        <v>878</v>
      </c>
      <c r="L101" s="316" t="s">
        <v>879</v>
      </c>
      <c r="M101" s="316" t="s">
        <v>880</v>
      </c>
    </row>
    <row r="102" s="1" customFormat="1" spans="1:13">
      <c r="A102" s="10">
        <v>45506.9181365741</v>
      </c>
      <c r="B102" s="316" t="s">
        <v>881</v>
      </c>
      <c r="C102" s="1" t="s">
        <v>806</v>
      </c>
      <c r="D102" s="316" t="s">
        <v>350</v>
      </c>
      <c r="E102" s="316" t="s">
        <v>180</v>
      </c>
      <c r="F102" s="316" t="s">
        <v>181</v>
      </c>
      <c r="I102" s="316" t="s">
        <v>357</v>
      </c>
      <c r="J102" s="317" t="s">
        <v>882</v>
      </c>
      <c r="K102" s="316" t="s">
        <v>883</v>
      </c>
      <c r="L102" s="316" t="s">
        <v>884</v>
      </c>
      <c r="M102" s="316" t="s">
        <v>885</v>
      </c>
    </row>
    <row r="103" s="1" customFormat="1" spans="1:13">
      <c r="A103" s="10">
        <v>45506.9182986111</v>
      </c>
      <c r="B103" s="316" t="s">
        <v>886</v>
      </c>
      <c r="C103" s="1" t="s">
        <v>887</v>
      </c>
      <c r="D103" s="316" t="s">
        <v>350</v>
      </c>
      <c r="E103" s="316" t="s">
        <v>182</v>
      </c>
      <c r="F103" s="316" t="s">
        <v>183</v>
      </c>
      <c r="I103" s="316" t="s">
        <v>357</v>
      </c>
      <c r="J103" s="317" t="s">
        <v>888</v>
      </c>
      <c r="K103" s="316" t="s">
        <v>889</v>
      </c>
      <c r="L103" s="316" t="s">
        <v>182</v>
      </c>
      <c r="M103" s="316" t="s">
        <v>890</v>
      </c>
    </row>
    <row r="104" s="1" customFormat="1" spans="1:13">
      <c r="A104" s="10">
        <v>45506.9447685185</v>
      </c>
      <c r="B104" s="316" t="s">
        <v>891</v>
      </c>
      <c r="C104" s="1" t="s">
        <v>691</v>
      </c>
      <c r="D104" s="316" t="s">
        <v>350</v>
      </c>
      <c r="E104" s="316" t="s">
        <v>184</v>
      </c>
      <c r="F104" s="316" t="s">
        <v>185</v>
      </c>
      <c r="G104" s="316" t="s">
        <v>374</v>
      </c>
      <c r="I104" s="316" t="s">
        <v>357</v>
      </c>
      <c r="J104" s="317" t="s">
        <v>892</v>
      </c>
      <c r="K104" s="316" t="s">
        <v>893</v>
      </c>
      <c r="L104" s="316" t="s">
        <v>894</v>
      </c>
      <c r="M104" s="316" t="s">
        <v>894</v>
      </c>
    </row>
    <row r="105" s="1" customFormat="1" spans="1:13">
      <c r="A105" s="10">
        <v>45507.0799884259</v>
      </c>
      <c r="B105" s="316" t="s">
        <v>895</v>
      </c>
      <c r="C105" s="1" t="s">
        <v>896</v>
      </c>
      <c r="D105" s="316" t="s">
        <v>350</v>
      </c>
      <c r="E105" s="316" t="s">
        <v>186</v>
      </c>
      <c r="F105" s="316" t="s">
        <v>187</v>
      </c>
      <c r="G105" s="316" t="s">
        <v>374</v>
      </c>
      <c r="J105" s="317" t="s">
        <v>897</v>
      </c>
      <c r="K105" s="316" t="s">
        <v>898</v>
      </c>
      <c r="L105" s="316" t="s">
        <v>899</v>
      </c>
      <c r="M105" s="316" t="s">
        <v>900</v>
      </c>
    </row>
    <row r="106" s="1" customFormat="1" spans="1:13">
      <c r="A106" s="10">
        <v>45507.6198611111</v>
      </c>
      <c r="B106" s="316" t="s">
        <v>901</v>
      </c>
      <c r="C106" s="1" t="s">
        <v>902</v>
      </c>
      <c r="D106" s="316" t="s">
        <v>350</v>
      </c>
      <c r="E106" s="316" t="s">
        <v>188</v>
      </c>
      <c r="F106" s="316" t="s">
        <v>189</v>
      </c>
      <c r="H106" s="316" t="s">
        <v>351</v>
      </c>
      <c r="J106" s="317" t="s">
        <v>903</v>
      </c>
      <c r="K106" s="316" t="s">
        <v>904</v>
      </c>
      <c r="L106" s="316" t="s">
        <v>188</v>
      </c>
      <c r="M106" s="316" t="s">
        <v>506</v>
      </c>
    </row>
    <row r="107" s="1" customFormat="1" spans="1:13">
      <c r="A107" s="10">
        <v>45507.7919444444</v>
      </c>
      <c r="B107" s="316" t="s">
        <v>905</v>
      </c>
      <c r="C107" s="1" t="s">
        <v>906</v>
      </c>
      <c r="D107" s="316" t="s">
        <v>350</v>
      </c>
      <c r="E107" s="316" t="s">
        <v>190</v>
      </c>
      <c r="F107" s="316" t="s">
        <v>190</v>
      </c>
      <c r="H107" s="316" t="s">
        <v>351</v>
      </c>
      <c r="J107" s="317" t="s">
        <v>907</v>
      </c>
      <c r="K107" s="316" t="s">
        <v>908</v>
      </c>
      <c r="L107" s="316" t="s">
        <v>909</v>
      </c>
      <c r="M107" s="316" t="s">
        <v>241</v>
      </c>
    </row>
    <row r="108" s="1" customFormat="1" spans="1:13">
      <c r="A108" s="10">
        <v>45508.0427314815</v>
      </c>
      <c r="B108" s="316" t="s">
        <v>910</v>
      </c>
      <c r="C108" s="1" t="s">
        <v>911</v>
      </c>
      <c r="D108" s="316" t="s">
        <v>350</v>
      </c>
      <c r="E108" s="316" t="s">
        <v>191</v>
      </c>
      <c r="F108" s="316" t="s">
        <v>192</v>
      </c>
      <c r="G108" s="316" t="s">
        <v>374</v>
      </c>
      <c r="H108" s="316" t="s">
        <v>351</v>
      </c>
      <c r="I108" s="316" t="s">
        <v>357</v>
      </c>
      <c r="J108" s="317" t="s">
        <v>912</v>
      </c>
      <c r="K108" s="316" t="s">
        <v>913</v>
      </c>
      <c r="L108" s="316" t="s">
        <v>914</v>
      </c>
      <c r="M108" s="316" t="s">
        <v>915</v>
      </c>
    </row>
    <row r="109" s="1" customFormat="1" spans="1:13">
      <c r="A109" s="10">
        <v>45508.0517361111</v>
      </c>
      <c r="B109" s="316" t="s">
        <v>916</v>
      </c>
      <c r="C109" s="1" t="s">
        <v>917</v>
      </c>
      <c r="D109" s="316" t="s">
        <v>350</v>
      </c>
      <c r="E109" s="316" t="s">
        <v>193</v>
      </c>
      <c r="F109" s="316" t="s">
        <v>194</v>
      </c>
      <c r="G109" s="316" t="s">
        <v>374</v>
      </c>
      <c r="I109" s="316" t="s">
        <v>357</v>
      </c>
      <c r="J109" s="317" t="s">
        <v>918</v>
      </c>
      <c r="K109" s="316" t="s">
        <v>919</v>
      </c>
      <c r="L109" s="316" t="s">
        <v>920</v>
      </c>
      <c r="M109" s="316" t="s">
        <v>921</v>
      </c>
    </row>
    <row r="110" s="1" customFormat="1" spans="1:13">
      <c r="A110" s="10">
        <v>45508.4644791667</v>
      </c>
      <c r="B110" s="316" t="s">
        <v>922</v>
      </c>
      <c r="C110" s="1" t="s">
        <v>484</v>
      </c>
      <c r="D110" s="316" t="s">
        <v>350</v>
      </c>
      <c r="E110" s="1" t="s">
        <v>195</v>
      </c>
      <c r="F110" s="316" t="s">
        <v>196</v>
      </c>
      <c r="G110" s="316" t="s">
        <v>374</v>
      </c>
      <c r="I110" s="316" t="s">
        <v>357</v>
      </c>
      <c r="J110" s="317" t="s">
        <v>923</v>
      </c>
      <c r="K110" s="316" t="s">
        <v>924</v>
      </c>
      <c r="L110" s="316" t="s">
        <v>925</v>
      </c>
      <c r="M110" s="316" t="s">
        <v>241</v>
      </c>
    </row>
    <row r="111" s="1" customFormat="1" spans="1:13">
      <c r="A111" s="10">
        <v>45508.5127083333</v>
      </c>
      <c r="B111" s="316" t="s">
        <v>926</v>
      </c>
      <c r="C111" s="1" t="s">
        <v>927</v>
      </c>
      <c r="D111" s="316" t="s">
        <v>350</v>
      </c>
      <c r="E111" s="316" t="s">
        <v>197</v>
      </c>
      <c r="F111" s="316" t="s">
        <v>198</v>
      </c>
      <c r="G111" s="316" t="s">
        <v>374</v>
      </c>
      <c r="H111" s="316" t="s">
        <v>351</v>
      </c>
      <c r="I111" s="316" t="s">
        <v>357</v>
      </c>
      <c r="J111" s="317" t="s">
        <v>928</v>
      </c>
      <c r="K111" s="316" t="s">
        <v>929</v>
      </c>
      <c r="L111" s="316" t="s">
        <v>930</v>
      </c>
      <c r="M111" s="316" t="s">
        <v>931</v>
      </c>
    </row>
    <row r="112" s="1" customFormat="1" spans="1:13">
      <c r="A112" s="10">
        <v>45508.5463657407</v>
      </c>
      <c r="B112" s="316" t="s">
        <v>932</v>
      </c>
      <c r="C112" s="1" t="s">
        <v>933</v>
      </c>
      <c r="D112" s="316" t="s">
        <v>350</v>
      </c>
      <c r="E112" s="316" t="s">
        <v>199</v>
      </c>
      <c r="F112" s="316" t="s">
        <v>200</v>
      </c>
      <c r="H112" s="316" t="s">
        <v>351</v>
      </c>
      <c r="J112" s="317" t="s">
        <v>934</v>
      </c>
      <c r="K112" s="316" t="s">
        <v>935</v>
      </c>
      <c r="L112" s="316" t="s">
        <v>936</v>
      </c>
      <c r="M112" s="316" t="s">
        <v>937</v>
      </c>
    </row>
    <row r="113" s="1" customFormat="1" spans="1:13">
      <c r="A113" s="10">
        <v>45508.8208796296</v>
      </c>
      <c r="B113" s="316" t="s">
        <v>938</v>
      </c>
      <c r="C113" s="1" t="s">
        <v>939</v>
      </c>
      <c r="D113" s="316" t="s">
        <v>350</v>
      </c>
      <c r="E113" s="316" t="s">
        <v>201</v>
      </c>
      <c r="F113" s="316" t="s">
        <v>202</v>
      </c>
      <c r="G113" s="316" t="s">
        <v>374</v>
      </c>
      <c r="I113" s="316" t="s">
        <v>357</v>
      </c>
      <c r="J113" s="317" t="s">
        <v>940</v>
      </c>
      <c r="K113" s="316" t="s">
        <v>941</v>
      </c>
      <c r="L113" s="316" t="s">
        <v>940</v>
      </c>
      <c r="M113" s="316" t="s">
        <v>942</v>
      </c>
    </row>
    <row r="114" s="1" customFormat="1" spans="1:13">
      <c r="A114" s="10">
        <v>45508.902349537</v>
      </c>
      <c r="B114" s="316" t="s">
        <v>943</v>
      </c>
      <c r="C114" s="1" t="s">
        <v>944</v>
      </c>
      <c r="D114" s="316" t="s">
        <v>350</v>
      </c>
      <c r="E114" s="316" t="s">
        <v>203</v>
      </c>
      <c r="F114" s="316" t="s">
        <v>204</v>
      </c>
      <c r="H114" s="316" t="s">
        <v>351</v>
      </c>
      <c r="I114" s="316" t="s">
        <v>357</v>
      </c>
      <c r="J114" s="317" t="s">
        <v>945</v>
      </c>
      <c r="K114" s="316" t="s">
        <v>946</v>
      </c>
      <c r="L114" s="316" t="s">
        <v>947</v>
      </c>
      <c r="M114" s="316" t="s">
        <v>948</v>
      </c>
    </row>
    <row r="115" s="1" customFormat="1" spans="1:13">
      <c r="A115" s="10">
        <v>45508.9039699074</v>
      </c>
      <c r="B115" s="316" t="s">
        <v>949</v>
      </c>
      <c r="C115" s="1" t="s">
        <v>398</v>
      </c>
      <c r="D115" s="316" t="s">
        <v>350</v>
      </c>
      <c r="E115" s="316" t="s">
        <v>205</v>
      </c>
      <c r="F115" s="316" t="s">
        <v>206</v>
      </c>
      <c r="I115" s="316" t="s">
        <v>357</v>
      </c>
      <c r="J115" s="317" t="s">
        <v>950</v>
      </c>
      <c r="K115" s="316" t="s">
        <v>951</v>
      </c>
      <c r="L115" s="316" t="s">
        <v>952</v>
      </c>
      <c r="M115" s="316" t="s">
        <v>953</v>
      </c>
    </row>
    <row r="116" s="1" customFormat="1" spans="1:13">
      <c r="A116" s="10">
        <v>45509.4955555556</v>
      </c>
      <c r="B116" s="316" t="s">
        <v>954</v>
      </c>
      <c r="C116" s="1" t="s">
        <v>955</v>
      </c>
      <c r="D116" s="316" t="s">
        <v>350</v>
      </c>
      <c r="E116" s="316" t="s">
        <v>207</v>
      </c>
      <c r="F116" s="316" t="s">
        <v>207</v>
      </c>
      <c r="I116" s="316" t="s">
        <v>357</v>
      </c>
      <c r="J116" s="317" t="s">
        <v>956</v>
      </c>
      <c r="K116" s="316" t="s">
        <v>957</v>
      </c>
      <c r="L116" s="316" t="s">
        <v>207</v>
      </c>
      <c r="M116" s="316" t="s">
        <v>958</v>
      </c>
    </row>
    <row r="117" s="1" customFormat="1" spans="1:13">
      <c r="A117" s="10">
        <v>45509.6522453704</v>
      </c>
      <c r="B117" s="316" t="s">
        <v>959</v>
      </c>
      <c r="C117" s="1" t="s">
        <v>832</v>
      </c>
      <c r="D117" s="316" t="s">
        <v>350</v>
      </c>
      <c r="E117" s="316" t="s">
        <v>208</v>
      </c>
      <c r="F117" s="316" t="s">
        <v>208</v>
      </c>
      <c r="G117" s="316" t="s">
        <v>374</v>
      </c>
      <c r="J117" s="317" t="s">
        <v>960</v>
      </c>
      <c r="K117" s="316" t="s">
        <v>961</v>
      </c>
      <c r="L117" s="316" t="s">
        <v>962</v>
      </c>
      <c r="M117" s="316" t="s">
        <v>963</v>
      </c>
    </row>
    <row r="118" s="1" customFormat="1" spans="1:13">
      <c r="A118" s="10">
        <v>45509.6528356482</v>
      </c>
      <c r="B118" s="316" t="s">
        <v>964</v>
      </c>
      <c r="C118" s="1" t="s">
        <v>751</v>
      </c>
      <c r="D118" s="316" t="s">
        <v>350</v>
      </c>
      <c r="E118" s="316" t="s">
        <v>209</v>
      </c>
      <c r="F118" s="316" t="s">
        <v>209</v>
      </c>
      <c r="H118" s="316" t="s">
        <v>351</v>
      </c>
      <c r="J118" s="317" t="s">
        <v>965</v>
      </c>
      <c r="K118" s="316" t="s">
        <v>966</v>
      </c>
      <c r="L118" s="316" t="s">
        <v>967</v>
      </c>
      <c r="M118" s="316" t="s">
        <v>968</v>
      </c>
    </row>
    <row r="119" s="1" customFormat="1" spans="1:13">
      <c r="A119" s="10">
        <v>45509.6758217593</v>
      </c>
      <c r="B119" s="316" t="s">
        <v>969</v>
      </c>
      <c r="C119" s="1" t="s">
        <v>970</v>
      </c>
      <c r="D119" s="316" t="s">
        <v>350</v>
      </c>
      <c r="E119" s="316" t="s">
        <v>210</v>
      </c>
      <c r="F119" s="316" t="s">
        <v>211</v>
      </c>
      <c r="I119" s="316" t="s">
        <v>357</v>
      </c>
      <c r="J119" s="317" t="s">
        <v>971</v>
      </c>
      <c r="K119" s="316" t="s">
        <v>972</v>
      </c>
      <c r="L119" s="316" t="s">
        <v>973</v>
      </c>
      <c r="M119" s="316" t="s">
        <v>974</v>
      </c>
    </row>
    <row r="120" s="1" customFormat="1" spans="1:13">
      <c r="A120" s="10">
        <v>45509.767974537</v>
      </c>
      <c r="B120" s="316" t="s">
        <v>975</v>
      </c>
      <c r="C120" s="1" t="s">
        <v>729</v>
      </c>
      <c r="D120" s="316" t="s">
        <v>350</v>
      </c>
      <c r="E120" s="316" t="s">
        <v>212</v>
      </c>
      <c r="F120" s="316" t="s">
        <v>212</v>
      </c>
      <c r="I120" s="316" t="s">
        <v>357</v>
      </c>
      <c r="J120" s="317" t="s">
        <v>976</v>
      </c>
      <c r="K120" s="316" t="s">
        <v>977</v>
      </c>
      <c r="L120" s="316" t="s">
        <v>978</v>
      </c>
      <c r="M120" s="316" t="s">
        <v>241</v>
      </c>
    </row>
    <row r="121" s="1" customFormat="1" spans="1:13">
      <c r="A121" s="10">
        <v>45511.7429050926</v>
      </c>
      <c r="B121" s="316" t="s">
        <v>979</v>
      </c>
      <c r="C121" s="1" t="s">
        <v>980</v>
      </c>
      <c r="D121" s="316" t="s">
        <v>350</v>
      </c>
      <c r="E121" s="316" t="s">
        <v>213</v>
      </c>
      <c r="F121" s="316" t="s">
        <v>213</v>
      </c>
      <c r="G121" s="316" t="s">
        <v>374</v>
      </c>
      <c r="J121" s="317" t="s">
        <v>981</v>
      </c>
      <c r="K121" s="316" t="s">
        <v>982</v>
      </c>
      <c r="L121" s="316" t="s">
        <v>983</v>
      </c>
      <c r="M121" s="316" t="s">
        <v>241</v>
      </c>
    </row>
    <row r="122" s="2" customFormat="1" spans="1:13">
      <c r="A122" s="11">
        <v>45512.8246527778</v>
      </c>
      <c r="B122" s="318" t="s">
        <v>984</v>
      </c>
      <c r="C122" s="2" t="s">
        <v>985</v>
      </c>
      <c r="D122" s="318" t="s">
        <v>350</v>
      </c>
      <c r="E122" s="318" t="s">
        <v>214</v>
      </c>
      <c r="F122" s="318" t="s">
        <v>215</v>
      </c>
      <c r="I122" s="318" t="s">
        <v>357</v>
      </c>
      <c r="J122" s="319" t="s">
        <v>986</v>
      </c>
      <c r="K122" s="318" t="s">
        <v>987</v>
      </c>
      <c r="L122" s="318" t="s">
        <v>988</v>
      </c>
      <c r="M122" s="318" t="s">
        <v>241</v>
      </c>
    </row>
    <row r="123" s="2" customFormat="1" spans="1:13">
      <c r="A123" s="11">
        <v>45512.8283796296</v>
      </c>
      <c r="B123" s="318" t="s">
        <v>989</v>
      </c>
      <c r="C123" s="2" t="s">
        <v>990</v>
      </c>
      <c r="D123" s="318" t="s">
        <v>350</v>
      </c>
      <c r="E123" s="318" t="s">
        <v>216</v>
      </c>
      <c r="F123" s="318" t="s">
        <v>217</v>
      </c>
      <c r="H123" s="318" t="s">
        <v>351</v>
      </c>
      <c r="I123" s="318" t="s">
        <v>357</v>
      </c>
      <c r="J123" s="319" t="s">
        <v>991</v>
      </c>
      <c r="K123" s="318" t="s">
        <v>992</v>
      </c>
      <c r="L123" s="318" t="s">
        <v>993</v>
      </c>
      <c r="M123" s="318" t="s">
        <v>994</v>
      </c>
    </row>
  </sheetData>
  <sheetProtection formatCells="0" insertHyperlinks="0" autoFilter="0"/>
  <autoFilter ref="A1:M123">
    <sortState ref="A1:M123">
      <sortCondition ref="K1:K123" descending="1"/>
    </sortState>
    <extLst/>
  </autoFilter>
  <conditionalFormatting sqref="E$1:E$1048576">
    <cfRule type="expression" dxfId="0" priority="1">
      <formula>AND(SUMPRODUCT(IFERROR(1*(($E$1:$E$1048576&amp;"x")=(E1&amp;"x")),0))&gt;1,NOT(ISBLANK(E1)))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237623015">
    <arrUserId title="Range1" rangeCreator="" othersAccessPermission="visible">
      <userID accessPermission="edit">237623015</userID>
    </arrUserId>
  </rangeList>
  <rangeList sheetStid="3" master=""/>
  <rangeList sheetStid="4" master=""/>
  <rangeList sheetStid="5" master=""/>
  <rangeList sheetStid="6" master=""/>
  <rangeList sheetStid="7" master=""/>
  <rangeList sheetStid="8" master="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WWO_wpscloud_20240808231746-ba12b3ef87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转会市场</vt:lpstr>
      <vt:lpstr>交易历史</vt:lpstr>
      <vt:lpstr>队伍总览 </vt:lpstr>
      <vt:lpstr>队伍收入状况 </vt:lpstr>
      <vt:lpstr>第一轮比赛</vt:lpstr>
      <vt:lpstr>比赛规则 </vt:lpstr>
      <vt:lpstr>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江山</cp:lastModifiedBy>
  <dcterms:created xsi:type="dcterms:W3CDTF">2024-08-09T10:54:00Z</dcterms:created>
  <dcterms:modified xsi:type="dcterms:W3CDTF">2024-08-09T04:20:51Z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729F779424AE7E32F484B5669E850EA3_41</vt:lpwstr>
  </property>
  <property fmtid="{D5CDD505-2E9C-101B-9397-08002B2CF9AE}" pid="3" name="KSOProductBuildVer">
    <vt:lpwstr>2052-12.1.0.17147</vt:lpwstr>
  </property>
</Properties>
</file>