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395" windowHeight="17655" activeTab="2"/>
  </bookViews>
  <sheets>
    <sheet name="拍卖列表" sheetId="1" r:id="rId1"/>
    <sheet name="交易历史" sheetId="15" r:id="rId2"/>
    <sheet name="队伍总览" sheetId="2" r:id="rId3"/>
    <sheet name="队伍收入状况" sheetId="3" r:id="rId4"/>
    <sheet name="比赛规则" sheetId="4" r:id="rId5"/>
    <sheet name="第一轮比赛" sheetId="5" r:id="rId6"/>
    <sheet name="报名表" sheetId="6" r:id="rId7"/>
  </sheets>
  <definedNames>
    <definedName name="WebWps_Form">报名表!$A$1:$M$118</definedName>
    <definedName name="_xlnm._FilterDatabase" localSheetId="6" hidden="1">报名表!$A$1:$M$118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<sst xmlns="http://schemas.openxmlformats.org/spreadsheetml/2006/main" count="2051" uniqueCount="983">
  <si>
    <t>2024年第二届梦幻联赛转会市场</t>
  </si>
  <si>
    <t>队伍名称</t>
  </si>
  <si>
    <t>队伍资金</t>
  </si>
  <si>
    <t>剩余资金（单位：W）</t>
  </si>
  <si>
    <t>账户状态</t>
  </si>
  <si>
    <t>队长名</t>
  </si>
  <si>
    <t>【CbHz】吃饱喝足就是玩</t>
  </si>
  <si>
    <t>冲锋</t>
  </si>
  <si>
    <t>【SSR】Superior Super Rare</t>
  </si>
  <si>
    <t>图派克</t>
  </si>
  <si>
    <t>【OldH】老H犟嘴</t>
  </si>
  <si>
    <t>凯撒</t>
  </si>
  <si>
    <t>【AWO】逃出生天</t>
  </si>
  <si>
    <t>小山楂</t>
  </si>
  <si>
    <t>【G2】G2‭</t>
  </si>
  <si>
    <t>米子</t>
  </si>
  <si>
    <t>【TV】Team Vitality</t>
  </si>
  <si>
    <t>赵毅</t>
  </si>
  <si>
    <t>【Miniworld】迷你世界</t>
  </si>
  <si>
    <t>nane</t>
  </si>
  <si>
    <t>【NikoFC】NikoCN Fanclub</t>
  </si>
  <si>
    <t>梅森</t>
  </si>
  <si>
    <t>常用昵称</t>
  </si>
  <si>
    <t>报名ID</t>
  </si>
  <si>
    <t>最高身价（单位：W）</t>
  </si>
  <si>
    <t>当前队伍（出价最高队）</t>
  </si>
  <si>
    <t>球员目前状态</t>
  </si>
  <si>
    <t>xiaoliyu</t>
  </si>
  <si>
    <t>JackeyLove</t>
  </si>
  <si>
    <t>小鱼</t>
  </si>
  <si>
    <t>18SadYu</t>
  </si>
  <si>
    <t>Mengdong</t>
  </si>
  <si>
    <t>awe23</t>
  </si>
  <si>
    <t>Lezafans</t>
  </si>
  <si>
    <t>史蒂夫</t>
  </si>
  <si>
    <t>[Vinland]Steve</t>
  </si>
  <si>
    <t>f4</t>
  </si>
  <si>
    <t>quandouwushILing</t>
  </si>
  <si>
    <t>Bonaoart</t>
  </si>
  <si>
    <t>Bonapart</t>
  </si>
  <si>
    <t>哭丧</t>
  </si>
  <si>
    <t>KUSANAGE</t>
  </si>
  <si>
    <t>abin</t>
  </si>
  <si>
    <t>GJY</t>
  </si>
  <si>
    <t>Ak King</t>
  </si>
  <si>
    <t>AP-20</t>
  </si>
  <si>
    <t>王水灵</t>
  </si>
  <si>
    <t>wsl</t>
  </si>
  <si>
    <t>豆子</t>
  </si>
  <si>
    <t>HeiAnZhiWang</t>
  </si>
  <si>
    <t>果猫</t>
  </si>
  <si>
    <t>sichuanmei</t>
  </si>
  <si>
    <t>233laoye</t>
  </si>
  <si>
    <t>Super_Seal</t>
  </si>
  <si>
    <t>Tatum</t>
  </si>
  <si>
    <t>KillerQuin</t>
  </si>
  <si>
    <t>qifenzu</t>
  </si>
  <si>
    <t>罗加</t>
  </si>
  <si>
    <t>ZhouBaiYa</t>
  </si>
  <si>
    <t>Luvv</t>
  </si>
  <si>
    <t>05</t>
  </si>
  <si>
    <t>老鱼</t>
  </si>
  <si>
    <t>566</t>
  </si>
  <si>
    <t>艾拉AL</t>
  </si>
  <si>
    <t>Wushenglinglu</t>
  </si>
  <si>
    <t>孟起</t>
  </si>
  <si>
    <t>RuoZhi</t>
  </si>
  <si>
    <t>Mliya</t>
  </si>
  <si>
    <t>twocat</t>
  </si>
  <si>
    <t>catman</t>
  </si>
  <si>
    <t>500</t>
  </si>
  <si>
    <t>Charlotte</t>
  </si>
  <si>
    <t xml:space="preserve">HorN_kukuko
</t>
  </si>
  <si>
    <t>kukuko</t>
  </si>
  <si>
    <t>AQI</t>
  </si>
  <si>
    <t>Yoshino</t>
  </si>
  <si>
    <t>宝爹</t>
  </si>
  <si>
    <t>Pageup</t>
  </si>
  <si>
    <t xml:space="preserve">jmz </t>
  </si>
  <si>
    <t>jmz</t>
  </si>
  <si>
    <t>骑砍皇帝</t>
  </si>
  <si>
    <t>Tyatya_Gucci</t>
  </si>
  <si>
    <t>苏西斯</t>
  </si>
  <si>
    <t>Animula_Choragi</t>
  </si>
  <si>
    <t>Add</t>
  </si>
  <si>
    <t>Ezio</t>
  </si>
  <si>
    <t>MisakaEzio</t>
  </si>
  <si>
    <t>Goganpa</t>
  </si>
  <si>
    <t>YQS_dou_dou</t>
  </si>
  <si>
    <t>baimayinqiang</t>
  </si>
  <si>
    <t>Iyin</t>
  </si>
  <si>
    <t>淫荡</t>
  </si>
  <si>
    <t>KT_Bili1620342</t>
  </si>
  <si>
    <t>IC</t>
  </si>
  <si>
    <t>_IC</t>
  </si>
  <si>
    <t>xiaoye</t>
  </si>
  <si>
    <t>YQS_Cross</t>
  </si>
  <si>
    <t>comet</t>
  </si>
  <si>
    <t>diyuluguan</t>
  </si>
  <si>
    <t>KR_YuXuan</t>
  </si>
  <si>
    <t>huashounanhai</t>
  </si>
  <si>
    <t>DH</t>
  </si>
  <si>
    <t>MANGOL</t>
  </si>
  <si>
    <t>_</t>
  </si>
  <si>
    <t>ai</t>
  </si>
  <si>
    <t>小捷豹</t>
  </si>
  <si>
    <t>19pig</t>
  </si>
  <si>
    <t>Gad_ALiang</t>
  </si>
  <si>
    <t>威廉</t>
  </si>
  <si>
    <t>Oasis</t>
  </si>
  <si>
    <t>卡皇</t>
  </si>
  <si>
    <t>parrot</t>
  </si>
  <si>
    <t>MINI_Xiaoxiao</t>
  </si>
  <si>
    <t>芬克</t>
  </si>
  <si>
    <t>Fenker</t>
  </si>
  <si>
    <t>Motochika</t>
  </si>
  <si>
    <t>Able</t>
  </si>
  <si>
    <t>Workwork</t>
  </si>
  <si>
    <t>末影</t>
  </si>
  <si>
    <t>lxclxc</t>
  </si>
  <si>
    <t>城府</t>
  </si>
  <si>
    <t>Jinzhaojianzhidieyunchu</t>
  </si>
  <si>
    <t>苏雨晴</t>
  </si>
  <si>
    <t>Elucoco</t>
  </si>
  <si>
    <t>Lezalit</t>
  </si>
  <si>
    <t>Yuukasama</t>
  </si>
  <si>
    <t>knightzz</t>
  </si>
  <si>
    <t>天帝哥哥</t>
  </si>
  <si>
    <t>TianDi</t>
  </si>
  <si>
    <t>冷夜</t>
  </si>
  <si>
    <t>LengYe</t>
  </si>
  <si>
    <t>大聪明、呆呆</t>
  </si>
  <si>
    <t>DaCongMing</t>
  </si>
  <si>
    <t>退休老人野望</t>
  </si>
  <si>
    <t>Retired older</t>
  </si>
  <si>
    <t>LSSL</t>
  </si>
  <si>
    <t>shiran</t>
  </si>
  <si>
    <t>sy72sdf</t>
  </si>
  <si>
    <t>Maverick</t>
  </si>
  <si>
    <t>阿氰</t>
  </si>
  <si>
    <t>Clyde</t>
  </si>
  <si>
    <t>凯德</t>
  </si>
  <si>
    <t>Nature</t>
  </si>
  <si>
    <t>havoc</t>
  </si>
  <si>
    <t>huitailang</t>
  </si>
  <si>
    <t>1911/Dogmeat</t>
  </si>
  <si>
    <t>1911</t>
  </si>
  <si>
    <t>比伯</t>
  </si>
  <si>
    <t>Pocky</t>
  </si>
  <si>
    <t>XiaoRen</t>
  </si>
  <si>
    <t>回火的头盖骨</t>
  </si>
  <si>
    <t>SKULL</t>
  </si>
  <si>
    <t>mama</t>
  </si>
  <si>
    <t>KT_riva</t>
  </si>
  <si>
    <t>riva</t>
  </si>
  <si>
    <t>chengcheng</t>
  </si>
  <si>
    <t>houtui</t>
  </si>
  <si>
    <t>lirene</t>
  </si>
  <si>
    <t>Smile</t>
  </si>
  <si>
    <t>武田</t>
  </si>
  <si>
    <t>Takeda</t>
  </si>
  <si>
    <t>大西瓜</t>
  </si>
  <si>
    <t>Guomao</t>
  </si>
  <si>
    <t>白露</t>
  </si>
  <si>
    <t>FELIX</t>
  </si>
  <si>
    <t>wind</t>
  </si>
  <si>
    <t>波澜</t>
  </si>
  <si>
    <t>Bolan</t>
  </si>
  <si>
    <t>YQS-Laozhongzhu</t>
  </si>
  <si>
    <t>TNT</t>
  </si>
  <si>
    <t>2CiYuan</t>
  </si>
  <si>
    <t>天将</t>
  </si>
  <si>
    <t>GeBuLin</t>
  </si>
  <si>
    <t>Rapier</t>
  </si>
  <si>
    <t>鸡头</t>
  </si>
  <si>
    <t>GMM</t>
  </si>
  <si>
    <t>888</t>
  </si>
  <si>
    <t>Doraemon</t>
  </si>
  <si>
    <t>午马</t>
  </si>
  <si>
    <t>WuMA</t>
  </si>
  <si>
    <t>xp</t>
  </si>
  <si>
    <t>biaoqiang</t>
  </si>
  <si>
    <t>帅比大</t>
  </si>
  <si>
    <t>shuaibida</t>
  </si>
  <si>
    <t>雪猫</t>
  </si>
  <si>
    <t>Flower</t>
  </si>
  <si>
    <t>腻长官</t>
  </si>
  <si>
    <t>Neebs</t>
  </si>
  <si>
    <t>陈旭然</t>
  </si>
  <si>
    <t>Top</t>
  </si>
  <si>
    <t>Demo</t>
  </si>
  <si>
    <t>Lemonade</t>
  </si>
  <si>
    <t>loopy</t>
  </si>
  <si>
    <t>嘎巴</t>
  </si>
  <si>
    <t>Kawaragi_Momoka</t>
  </si>
  <si>
    <t>抖了抖</t>
  </si>
  <si>
    <t>Guangqishi19</t>
  </si>
  <si>
    <t>HaiKou</t>
  </si>
  <si>
    <t>taikula</t>
  </si>
  <si>
    <t>行六水</t>
  </si>
  <si>
    <t>xing666shui</t>
  </si>
  <si>
    <t>无敌帅哥张顺飞</t>
  </si>
  <si>
    <t>Fantasy</t>
  </si>
  <si>
    <t>88P</t>
  </si>
  <si>
    <t>HooXi</t>
  </si>
  <si>
    <t>00000000001</t>
  </si>
  <si>
    <t>XiaoXiaoHai</t>
  </si>
  <si>
    <t>jkjkmn</t>
  </si>
  <si>
    <t>112</t>
  </si>
  <si>
    <t>dandao</t>
  </si>
  <si>
    <t>JiaRan</t>
  </si>
  <si>
    <t>Haruki</t>
  </si>
  <si>
    <t>pipi</t>
  </si>
  <si>
    <t>Ntfei</t>
  </si>
  <si>
    <t>52</t>
  </si>
  <si>
    <t>ABF-099</t>
  </si>
  <si>
    <t>牢云</t>
  </si>
  <si>
    <t>OldCloud</t>
  </si>
  <si>
    <t>球员昵称</t>
  </si>
  <si>
    <t>交易价格</t>
  </si>
  <si>
    <t>买入队伍</t>
  </si>
  <si>
    <t>卖出队伍</t>
  </si>
  <si>
    <t>交易窗口</t>
  </si>
  <si>
    <t>最终归属队伍</t>
  </si>
  <si>
    <t>最高身价</t>
  </si>
  <si>
    <t>首次交易</t>
  </si>
  <si>
    <t>【Cbhz】吃饱喝足就是玩 &lt;1944993273&gt;</t>
  </si>
  <si>
    <t>【SSR】Superior Super Rare &lt;2764659592&gt;</t>
  </si>
  <si>
    <t>【OldH】老H犟嘴 &lt;3320553061&gt;</t>
  </si>
  <si>
    <t>【AWO】逃出生天 &lt;740221391&gt;</t>
  </si>
  <si>
    <t>身价（单位:w）</t>
  </si>
  <si>
    <t>总身价</t>
  </si>
  <si>
    <t>cooper</t>
  </si>
  <si>
    <t>【G2】G2 &lt;2682175052&gt;</t>
  </si>
  <si>
    <t>【TV】Team Vitality &lt;1574911366&gt;</t>
  </si>
  <si>
    <t>【Miniworld】迷你世界 &lt;2668013893&gt;</t>
  </si>
  <si>
    <t>【NikoFC】NikoCN Fanclub &lt;1847932439&gt;</t>
  </si>
  <si>
    <t>Zekken</t>
  </si>
  <si>
    <t>zy</t>
  </si>
  <si>
    <t>骑砍真神</t>
  </si>
  <si>
    <t/>
  </si>
  <si>
    <t>队长ID</t>
  </si>
  <si>
    <t>身价</t>
  </si>
  <si>
    <t>资金池</t>
  </si>
  <si>
    <t>第一周比赛奖励金</t>
  </si>
  <si>
    <t>第二周比赛奖励金</t>
  </si>
  <si>
    <t>第三周比赛奖励金</t>
  </si>
  <si>
    <t xml:space="preserve"> 2024年骑马与砍杀第二届梦幻联赛比赛介绍
</t>
  </si>
  <si>
    <t>https://kdocs.cn/l/cd1pt4d5tPbS</t>
  </si>
  <si>
    <t>拍卖流程</t>
  </si>
  <si>
    <t>1. 竞拍开始前，各队队长按要求进入腾讯会议，进入后，主持人将更改ID为序号，序号大小不决定出价顺序。</t>
  </si>
  <si>
    <t>2. 主持人介绍球员信息</t>
  </si>
  <si>
    <t>3. 队长出价，每位球员起价10w，每次加价必须10w的倍数，出价最高者获得对应的球员，首轮竞拍，最高价1000W</t>
  </si>
  <si>
    <t>4. 主持人喊三次当前最高价，若无更高价格，则成交；</t>
  </si>
  <si>
    <t>5. 无论任何情况，中途退出，失去的机会不做补偿，队伍名额未满，则随机获得剩余球员</t>
  </si>
  <si>
    <t>6. 资金不足问题</t>
  </si>
  <si>
    <t>➡️队长可当场向主持人申请使用备用金，但同时，该名队长的匿名状态将取消。</t>
  </si>
  <si>
    <t>➡️若队长本金及备用金均使用完毕,则随机获得流拍的球员。</t>
  </si>
  <si>
    <t>积分表</t>
  </si>
  <si>
    <t>积分</t>
  </si>
  <si>
    <t>净胜分</t>
  </si>
  <si>
    <t>得分</t>
  </si>
  <si>
    <t>失分</t>
  </si>
  <si>
    <t>胜图数</t>
  </si>
  <si>
    <t>【Cbhz】</t>
  </si>
  <si>
    <t>【SSR】</t>
  </si>
  <si>
    <t>【OldH】</t>
  </si>
  <si>
    <t>【AWO】</t>
  </si>
  <si>
    <t>【G2】</t>
  </si>
  <si>
    <t>【TV】</t>
  </si>
  <si>
    <t>【Miniworld】</t>
  </si>
  <si>
    <t>【NikoFC】</t>
  </si>
  <si>
    <t>比赛奖励金表</t>
  </si>
  <si>
    <t>小分奖励</t>
  </si>
  <si>
    <t>胜图奖励</t>
  </si>
  <si>
    <t>劣势奖励</t>
  </si>
  <si>
    <t>总奖励</t>
  </si>
  <si>
    <t>对战表</t>
  </si>
  <si>
    <t>比赛时间</t>
  </si>
  <si>
    <t>比赛服务器</t>
  </si>
  <si>
    <t>比赛裁判</t>
  </si>
  <si>
    <t>比赛轮次</t>
  </si>
  <si>
    <t>队伍</t>
  </si>
  <si>
    <t>胜利图数</t>
  </si>
  <si>
    <t>队伍总身价</t>
  </si>
  <si>
    <t>身价劣势队</t>
  </si>
  <si>
    <t>图一对战国家</t>
  </si>
  <si>
    <t>图二对战国家</t>
  </si>
  <si>
    <t>队伍上场人员1</t>
  </si>
  <si>
    <t>队伍上场人员2</t>
  </si>
  <si>
    <t>队伍上场人员3</t>
  </si>
  <si>
    <t>队伍上场人员4</t>
  </si>
  <si>
    <t>队伍上场人员5</t>
  </si>
  <si>
    <t>队伍上场人员6</t>
  </si>
  <si>
    <t>队伍上场人员7</t>
  </si>
  <si>
    <t>队伍上场人员8</t>
  </si>
  <si>
    <t>队伍上场人员9</t>
  </si>
  <si>
    <t>队伍上场人员10</t>
  </si>
  <si>
    <t>队伍上场人员11</t>
  </si>
  <si>
    <t>队伍上场人员12</t>
  </si>
  <si>
    <t>队伍上场人员13</t>
  </si>
  <si>
    <t>队伍上场人员14</t>
  </si>
  <si>
    <t>队伍上场人员15</t>
  </si>
  <si>
    <t>2024年8月9日 21:30:00</t>
  </si>
  <si>
    <t xml:space="preserve">CFWL_1
</t>
  </si>
  <si>
    <t>比赛1</t>
  </si>
  <si>
    <t>诺德 Nord</t>
  </si>
  <si>
    <t>萨兰德 Sarranid</t>
  </si>
  <si>
    <t>罗多克 Rhodok</t>
  </si>
  <si>
    <t>斯瓦迪亚 Swadia</t>
  </si>
  <si>
    <t>CFWL_2</t>
  </si>
  <si>
    <t>比赛2</t>
  </si>
  <si>
    <t>CFWL_3</t>
  </si>
  <si>
    <t>比赛3</t>
  </si>
  <si>
    <t>CFWL_4</t>
  </si>
  <si>
    <t>比赛4</t>
  </si>
  <si>
    <t>2024年8月10日 20:30:00</t>
  </si>
  <si>
    <t>CFWL_1</t>
  </si>
  <si>
    <t>比赛5</t>
  </si>
  <si>
    <t>维基亚 Veagir</t>
  </si>
  <si>
    <t>比赛6</t>
  </si>
  <si>
    <t>2024年8月10日 21:30:00</t>
  </si>
  <si>
    <t>比赛7</t>
  </si>
  <si>
    <t>比赛8</t>
  </si>
  <si>
    <t>提交时间</t>
  </si>
  <si>
    <t>填写ID</t>
  </si>
  <si>
    <t>答题时间</t>
  </si>
  <si>
    <t>报名身份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</si>
  <si>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兵种偏好:骑兵</t>
    </r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</si>
  <si>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兵种偏好:射手</t>
    </r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</si>
  <si>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兵种偏好:步兵</t>
    </r>
  </si>
  <si>
    <t>联系方式</t>
  </si>
  <si>
    <t>Guid</t>
  </si>
  <si>
    <t>中文站ID</t>
  </si>
  <si>
    <t>个人经历</t>
  </si>
  <si>
    <t>20240725234719915403395</t>
  </si>
  <si>
    <t>45秒</t>
  </si>
  <si>
    <t>队员</t>
  </si>
  <si>
    <t>射手</t>
  </si>
  <si>
    <t>2269640921</t>
  </si>
  <si>
    <t>zz1450564141</t>
  </si>
  <si>
    <t>参加过联赛</t>
  </si>
  <si>
    <t>20240726093705539074429</t>
  </si>
  <si>
    <t>42秒</t>
  </si>
  <si>
    <t>步兵</t>
  </si>
  <si>
    <t>242799690</t>
  </si>
  <si>
    <t>6116503</t>
  </si>
  <si>
    <t>生锈的smile</t>
  </si>
  <si>
    <t>20240726011956693794941</t>
  </si>
  <si>
    <t>1分23秒</t>
  </si>
  <si>
    <t>1909418646</t>
  </si>
  <si>
    <t>5807203</t>
  </si>
  <si>
    <t>TakedaWUTIAN</t>
  </si>
  <si>
    <t>参加过第11届战团联赛</t>
  </si>
  <si>
    <t>20240725235131496416331</t>
  </si>
  <si>
    <t>39秒</t>
  </si>
  <si>
    <t>843703100</t>
  </si>
  <si>
    <t>5803128</t>
  </si>
  <si>
    <t>呼唤君之名</t>
  </si>
  <si>
    <t>20240726000937109338199</t>
  </si>
  <si>
    <t>6分5秒</t>
  </si>
  <si>
    <t>骑兵</t>
  </si>
  <si>
    <t>QQ:2783366750</t>
  </si>
  <si>
    <t>5263885</t>
  </si>
  <si>
    <t>两届联赛经验，21年入坑，可能只有星期六能打这个比赛，其他时间来不了</t>
  </si>
  <si>
    <t>20240725232905546271332</t>
  </si>
  <si>
    <t>8分26秒</t>
  </si>
  <si>
    <t>QQ 3349220978</t>
  </si>
  <si>
    <t>5164741</t>
  </si>
  <si>
    <t>爱吃馒头的馒头</t>
  </si>
  <si>
    <t>参加过4届联赛，第一届梦幻联赛，第一届青训杯，时间较为充裕看情况可开麦</t>
  </si>
  <si>
    <t>20240725233016972064910</t>
  </si>
  <si>
    <t>4分21秒</t>
  </si>
  <si>
    <t>870595760</t>
  </si>
  <si>
    <t>4972218</t>
  </si>
  <si>
    <t>fishquin</t>
  </si>
  <si>
    <t>气氛组</t>
  </si>
  <si>
    <t>20240725233644458509365</t>
  </si>
  <si>
    <t>2分36秒</t>
  </si>
  <si>
    <t>队长</t>
  </si>
  <si>
    <t>chongfeng</t>
  </si>
  <si>
    <t>1944993273</t>
  </si>
  <si>
    <t>骚的冲锋桑</t>
  </si>
  <si>
    <t>我要屠凯撒</t>
  </si>
  <si>
    <t>20240725235943182206753</t>
  </si>
  <si>
    <t>1分17秒</t>
  </si>
  <si>
    <t>qq 2740432048</t>
  </si>
  <si>
    <t>4785445</t>
  </si>
  <si>
    <t>f44444444444444</t>
  </si>
  <si>
    <t>老兵</t>
  </si>
  <si>
    <t>20240726041648511309963</t>
  </si>
  <si>
    <t>1分27秒</t>
  </si>
  <si>
    <t>2010770781</t>
  </si>
  <si>
    <t>4642229</t>
  </si>
  <si>
    <t>罗加伯爵</t>
  </si>
  <si>
    <t>2022青训杯冠军</t>
  </si>
  <si>
    <t>20240726022517789971631</t>
  </si>
  <si>
    <t>33秒</t>
  </si>
  <si>
    <t>qq2682175052</t>
  </si>
  <si>
    <t>3791589</t>
  </si>
  <si>
    <t>Yuuki优纪</t>
  </si>
  <si>
    <t>20240726004249356691674</t>
  </si>
  <si>
    <t>17分14秒</t>
  </si>
  <si>
    <t>3347949960</t>
  </si>
  <si>
    <t>3610305</t>
  </si>
  <si>
    <t>角蝰先锋</t>
  </si>
  <si>
    <t>第九、十、十一届中国战团联赛圣保罗农民兵</t>
  </si>
  <si>
    <t>20240726010052771168434</t>
  </si>
  <si>
    <t>1分48秒</t>
  </si>
  <si>
    <t>flamZ</t>
  </si>
  <si>
    <t>1574911366</t>
  </si>
  <si>
    <t>3474873</t>
  </si>
  <si>
    <t>ZhaoYiQiu</t>
  </si>
  <si>
    <t>永恒杀过血染</t>
  </si>
  <si>
    <t>20240726020200394322732</t>
  </si>
  <si>
    <t>35秒</t>
  </si>
  <si>
    <t>1659189684</t>
  </si>
  <si>
    <t>3345714</t>
  </si>
  <si>
    <t>公园里的火枪手</t>
  </si>
  <si>
    <t>20240726003813338157068</t>
  </si>
  <si>
    <t>3分52秒</t>
  </si>
  <si>
    <t>2650238647</t>
  </si>
  <si>
    <t>3225781</t>
  </si>
  <si>
    <t>SB_SXF</t>
  </si>
  <si>
    <t>教二狗骑兵</t>
  </si>
  <si>
    <t>20240726021413058813452</t>
  </si>
  <si>
    <t>2小时56分39秒</t>
  </si>
  <si>
    <t>1808926263</t>
  </si>
  <si>
    <t>2780258</t>
  </si>
  <si>
    <t>20240725235815988108857</t>
  </si>
  <si>
    <t>11分22秒</t>
  </si>
  <si>
    <t>3051597997</t>
  </si>
  <si>
    <t>1953383</t>
  </si>
  <si>
    <t>永恒世界两年十字军，两年血染，X服财产四百万。拿破仑74战队队员，曾參加GF2020。号角C队主力骑兵。雇佣兵3v3比赛6强。</t>
  </si>
  <si>
    <t>20240726111846890466746</t>
  </si>
  <si>
    <t>7分32秒</t>
  </si>
  <si>
    <t>QQ</t>
  </si>
  <si>
    <t>5582070</t>
  </si>
  <si>
    <t>懵懂的少年KING</t>
  </si>
  <si>
    <t>被冲锋教练高度评价为大傻逼</t>
  </si>
  <si>
    <t>20240726113039808925594</t>
  </si>
  <si>
    <t>2分8秒</t>
  </si>
  <si>
    <t>694593591</t>
  </si>
  <si>
    <t>4643949</t>
  </si>
  <si>
    <t>礙、</t>
  </si>
  <si>
    <t>20240726113315840520924</t>
  </si>
  <si>
    <t>54秒</t>
  </si>
  <si>
    <t>真的是abin</t>
  </si>
  <si>
    <t>20240726115135900208630</t>
  </si>
  <si>
    <t>2分6秒</t>
  </si>
  <si>
    <t>2104046389</t>
  </si>
  <si>
    <t>5707597</t>
  </si>
  <si>
    <t>guojingyuan36</t>
  </si>
  <si>
    <t>晨风骑士团队员</t>
  </si>
  <si>
    <t>20240726115207561571756</t>
  </si>
  <si>
    <t>8分36秒</t>
  </si>
  <si>
    <t>1741774416</t>
  </si>
  <si>
    <t>3119346</t>
  </si>
  <si>
    <t>233老爷</t>
  </si>
  <si>
    <t>CS卡拉迪亚战队狙击手</t>
  </si>
  <si>
    <t>20240726115456017661981</t>
  </si>
  <si>
    <t>5分22秒</t>
  </si>
  <si>
    <t>1447327451</t>
  </si>
  <si>
    <t>进击的哈老四</t>
  </si>
  <si>
    <t>完美世界竞技平台连云港NO20钻石S苏州第一职业技术学院NO1</t>
  </si>
  <si>
    <t>20240726115647544690891</t>
  </si>
  <si>
    <t>6分44秒</t>
  </si>
  <si>
    <t>qq：3163192342</t>
  </si>
  <si>
    <t>4292183</t>
  </si>
  <si>
    <t>mubuer</t>
  </si>
  <si>
    <t>20240726115844917712571</t>
  </si>
  <si>
    <t>2分15秒</t>
  </si>
  <si>
    <t>Young_Blood</t>
  </si>
  <si>
    <t>2764659592</t>
  </si>
  <si>
    <t>5427356</t>
  </si>
  <si>
    <t>无，石头缝蹦出来的</t>
  </si>
  <si>
    <t>20240726120310325402149</t>
  </si>
  <si>
    <t>2分14秒</t>
  </si>
  <si>
    <t>2370026738</t>
  </si>
  <si>
    <t>5220710</t>
  </si>
  <si>
    <t>vinland城府</t>
  </si>
  <si>
    <t>小学本人三道杠</t>
  </si>
  <si>
    <t>20240726120730693214908</t>
  </si>
  <si>
    <t>1分30秒</t>
  </si>
  <si>
    <t>2673127707</t>
  </si>
  <si>
    <t>3805880</t>
  </si>
  <si>
    <t>月色修罗</t>
  </si>
  <si>
    <t>弓马骑射，样样不精</t>
  </si>
  <si>
    <t>20240726125654102796292</t>
  </si>
  <si>
    <t>1分9秒</t>
  </si>
  <si>
    <t>qq3094742386</t>
  </si>
  <si>
    <t>2192046</t>
  </si>
  <si>
    <t>3094742386</t>
  </si>
  <si>
    <t>无</t>
  </si>
  <si>
    <t>20240726130430728255306</t>
  </si>
  <si>
    <t>1分41秒</t>
  </si>
  <si>
    <t>549636986</t>
  </si>
  <si>
    <t>4015008</t>
  </si>
  <si>
    <t>BattleField</t>
  </si>
  <si>
    <t>20240726130940947535010</t>
  </si>
  <si>
    <t>3分17秒</t>
  </si>
  <si>
    <t>710941977</t>
  </si>
  <si>
    <t>3529276</t>
  </si>
  <si>
    <t>steve211</t>
  </si>
  <si>
    <t>本人有过三段感情经历，第一任性格问题分手，第二任是我任性吵架，第三任是爱好圈子不同不合适。本人目前定居山东青岛，在一家xx公司任职。无房车压力，有意向者联系本人。</t>
  </si>
  <si>
    <t>20240726141911955235581</t>
  </si>
  <si>
    <t>44秒</t>
  </si>
  <si>
    <t>2817325645</t>
  </si>
  <si>
    <t>4532852</t>
  </si>
  <si>
    <t>qyy</t>
  </si>
  <si>
    <t>魔兽世界WLK NAXX后二+双龙 龙牙第68痛苦术士 开荒奥杜尔会修星</t>
  </si>
  <si>
    <r>
      <rPr>
        <sz val="10"/>
        <color rgb="FF000000"/>
        <rFont val="微软雅黑"/>
        <charset val="134"/>
      </rPr>
      <t>jmz</t>
    </r>
    <r>
      <rPr>
        <sz val="10"/>
        <color rgb="FF000000"/>
        <rFont val="微软雅黑"/>
        <charset val="134"/>
      </rPr>
      <t xml:space="preserve"> </t>
    </r>
  </si>
  <si>
    <t>吃饱喝足就是送</t>
  </si>
  <si>
    <t>20240726145614124070373</t>
  </si>
  <si>
    <t>1分10秒</t>
  </si>
  <si>
    <t>783292912</t>
  </si>
  <si>
    <t>3227770</t>
  </si>
  <si>
    <t>天帝TianDi</t>
  </si>
  <si>
    <t>我和你妈结婚</t>
  </si>
  <si>
    <t>20240726151906713203896</t>
  </si>
  <si>
    <t>1分58秒</t>
  </si>
  <si>
    <t>814358796</t>
  </si>
  <si>
    <t>3717691</t>
  </si>
  <si>
    <t>可爱猫</t>
  </si>
  <si>
    <t>17年老屁股</t>
  </si>
  <si>
    <t>20240726172248409390744</t>
  </si>
  <si>
    <t>16693037061</t>
  </si>
  <si>
    <t>4200705</t>
  </si>
  <si>
    <t>忘了</t>
  </si>
  <si>
    <t>utd队员</t>
  </si>
  <si>
    <t>20240726182940772154670</t>
  </si>
  <si>
    <t>9小时13分7秒</t>
  </si>
  <si>
    <t>1575898652</t>
  </si>
  <si>
    <t>3280527</t>
  </si>
  <si>
    <t>Leng夜</t>
  </si>
  <si>
    <t>20240726183747963727994</t>
  </si>
  <si>
    <t>1分52秒</t>
  </si>
  <si>
    <t>2264674470</t>
  </si>
  <si>
    <t>6004059</t>
  </si>
  <si>
    <t>qiuligao</t>
  </si>
  <si>
    <t>参加过第一次梦幻联赛，大头兵一个不用理会</t>
  </si>
  <si>
    <t>20240726184426653599205</t>
  </si>
  <si>
    <r>
      <rPr>
        <sz val="10"/>
        <color rgb="FF000000"/>
        <rFont val="微软雅黑"/>
        <charset val="134"/>
      </rPr>
      <t>HorN_kukuko</t>
    </r>
    <r>
      <rPr>
        <sz val="10"/>
        <color rgb="FF000000"/>
        <rFont val="微软雅黑"/>
        <charset val="134"/>
      </rPr>
      <t xml:space="preserve">
</t>
    </r>
  </si>
  <si>
    <t>19986683039</t>
  </si>
  <si>
    <t>5634234</t>
  </si>
  <si>
    <t>纯萌新，给我分几个大腿</t>
  </si>
  <si>
    <t>20240726184840138402008</t>
  </si>
  <si>
    <t>11分15秒</t>
  </si>
  <si>
    <t>15871678798</t>
  </si>
  <si>
    <t>5796663</t>
  </si>
  <si>
    <t>阿祈</t>
  </si>
  <si>
    <t>23年战团中国联赛竞技组</t>
  </si>
  <si>
    <t>20240726190331642379040</t>
  </si>
  <si>
    <t>1分6秒</t>
  </si>
  <si>
    <t>qikanzhenshen</t>
  </si>
  <si>
    <t>1847932439</t>
  </si>
  <si>
    <t>2829498</t>
  </si>
  <si>
    <t>囚徒[已封禁]</t>
  </si>
  <si>
    <t>喜欢玩骑马与砍杀</t>
  </si>
  <si>
    <t>20240726190751384630095</t>
  </si>
  <si>
    <t>5分34秒</t>
  </si>
  <si>
    <t>2574208139</t>
  </si>
  <si>
    <t>4642268</t>
  </si>
  <si>
    <t>Aomine Daiki</t>
  </si>
  <si>
    <t>被二狗欺骗三年感情</t>
  </si>
  <si>
    <t>20240726191324646587673</t>
  </si>
  <si>
    <t>3分18秒</t>
  </si>
  <si>
    <t>2452364550</t>
  </si>
  <si>
    <t>2913957</t>
  </si>
  <si>
    <t>骑砍新人</t>
  </si>
  <si>
    <t>20240726192125990796099</t>
  </si>
  <si>
    <t>2分30秒</t>
  </si>
  <si>
    <t>446957708</t>
  </si>
  <si>
    <t>443377</t>
  </si>
  <si>
    <t>历史的野望</t>
  </si>
  <si>
    <t>多年不玩骑砍的骑友</t>
  </si>
  <si>
    <t>20240726194635071141728</t>
  </si>
  <si>
    <t>QQ-3491018506</t>
  </si>
  <si>
    <t>5519439</t>
  </si>
  <si>
    <t>20240726200535635710886</t>
  </si>
  <si>
    <t>2分</t>
  </si>
  <si>
    <t>492997924</t>
  </si>
  <si>
    <t>5266925</t>
  </si>
  <si>
    <t>qq492997924</t>
  </si>
  <si>
    <t>20240726204440378853802</t>
  </si>
  <si>
    <t>1分31秒</t>
  </si>
  <si>
    <t>1571944047</t>
  </si>
  <si>
    <r>
      <rPr>
        <sz val="10"/>
        <color rgb="FF000000"/>
        <rFont val="微软雅黑"/>
        <charset val="134"/>
      </rPr>
      <t>3693051</t>
    </r>
    <r>
      <rPr>
        <sz val="10"/>
        <color rgb="FF000000"/>
        <rFont val="微软雅黑"/>
        <charset val="134"/>
      </rPr>
      <t xml:space="preserve">
</t>
    </r>
  </si>
  <si>
    <t>江湖小宝</t>
  </si>
  <si>
    <t>新人</t>
  </si>
  <si>
    <t>20240726204449446337053</t>
  </si>
  <si>
    <t>43秒</t>
  </si>
  <si>
    <t>2535475829</t>
  </si>
  <si>
    <t>3019110</t>
  </si>
  <si>
    <t>你ug大哥</t>
  </si>
  <si>
    <t>玩家</t>
  </si>
  <si>
    <t>20240726205712224027389</t>
  </si>
  <si>
    <t>4分31秒</t>
  </si>
  <si>
    <t>QQ 1621981624</t>
  </si>
  <si>
    <t>4599042</t>
  </si>
  <si>
    <t>20240726220045273904527</t>
  </si>
  <si>
    <t>34秒</t>
  </si>
  <si>
    <t>2743214782</t>
  </si>
  <si>
    <t>1860809</t>
  </si>
  <si>
    <t>1</t>
  </si>
  <si>
    <t>20240726221117521971734</t>
  </si>
  <si>
    <t>1分16秒</t>
  </si>
  <si>
    <t>3206137599qq</t>
  </si>
  <si>
    <t>4009597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</si>
  <si>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3373931</t>
    </r>
  </si>
  <si>
    <t>两届联赛一届梦幻联赛一届青训</t>
  </si>
  <si>
    <t>20240726233028207506342</t>
  </si>
  <si>
    <t>10分10秒</t>
  </si>
  <si>
    <t>QQ:2779729583</t>
  </si>
  <si>
    <t>4810706</t>
  </si>
  <si>
    <t>十六个日夜的宵夜</t>
  </si>
  <si>
    <t>打过上一届梦幻联赛</t>
  </si>
  <si>
    <t>20240726235921656507330</t>
  </si>
  <si>
    <t>1分</t>
  </si>
  <si>
    <t>2272890004</t>
  </si>
  <si>
    <t>4153280</t>
  </si>
  <si>
    <t>直达天机</t>
  </si>
  <si>
    <t>20240727003130368561555</t>
  </si>
  <si>
    <t>2分57秒</t>
  </si>
  <si>
    <t>1657771401</t>
  </si>
  <si>
    <t>4858594</t>
  </si>
  <si>
    <t>咪西摩西</t>
  </si>
  <si>
    <t>两次联赛</t>
  </si>
  <si>
    <t>20240727004407029766008</t>
  </si>
  <si>
    <t>1分1秒</t>
  </si>
  <si>
    <t>2233596376</t>
  </si>
  <si>
    <t>3865769</t>
  </si>
  <si>
    <t>一梦俩三年.</t>
  </si>
  <si>
    <t>累</t>
  </si>
  <si>
    <t>20240727103510284829866</t>
  </si>
  <si>
    <t>59秒</t>
  </si>
  <si>
    <t>120260347</t>
  </si>
  <si>
    <t>2715677</t>
  </si>
  <si>
    <t>最近一年没玩过骑砍，不能开麦，晚上九点之后才有空，纯混子</t>
  </si>
  <si>
    <t>20240727105927105442568</t>
  </si>
  <si>
    <t>3分13秒</t>
  </si>
  <si>
    <t>1550682561qq</t>
  </si>
  <si>
    <t>4046117</t>
  </si>
  <si>
    <t>mmp233</t>
  </si>
  <si>
    <t>200小时的游戏经验</t>
  </si>
  <si>
    <t>20240727135618174165561</t>
  </si>
  <si>
    <t>50秒</t>
  </si>
  <si>
    <t>Arya</t>
  </si>
  <si>
    <t>3320553061</t>
  </si>
  <si>
    <t>4951826</t>
  </si>
  <si>
    <t>Julian-</t>
  </si>
  <si>
    <t>年年屠孙传庭</t>
  </si>
  <si>
    <t>20240727151233343264257</t>
  </si>
  <si>
    <t>2分7秒</t>
  </si>
  <si>
    <t>QQ464052159</t>
  </si>
  <si>
    <t>1953648</t>
  </si>
  <si>
    <t>342665399</t>
  </si>
  <si>
    <t>20240727152014016262940</t>
  </si>
  <si>
    <t>40秒</t>
  </si>
  <si>
    <t>1353258559</t>
  </si>
  <si>
    <t>2659289</t>
  </si>
  <si>
    <t>evakid</t>
  </si>
  <si>
    <t>20240727152531773127045</t>
  </si>
  <si>
    <t>4分25秒</t>
  </si>
  <si>
    <t>3199179003</t>
  </si>
  <si>
    <t>4852105</t>
  </si>
  <si>
    <t>laohaojie</t>
  </si>
  <si>
    <t>。。。</t>
  </si>
  <si>
    <t>20240727154329015994263</t>
  </si>
  <si>
    <t>13223728591</t>
  </si>
  <si>
    <t>3613642</t>
  </si>
  <si>
    <t>回火的手速刀</t>
  </si>
  <si>
    <t>纯精神小伙</t>
  </si>
  <si>
    <t>20240727174430617372003</t>
  </si>
  <si>
    <t>4分58秒</t>
  </si>
  <si>
    <t>QQ: 1521032645</t>
  </si>
  <si>
    <t>449488</t>
  </si>
  <si>
    <t>M1911A1手枪</t>
  </si>
  <si>
    <t>2021~2023在UTD参加联赛（主射手位辅步兵位） PS：近几月基本没碰过战团</t>
  </si>
  <si>
    <t>20240727212313956082457</t>
  </si>
  <si>
    <t>3分38秒</t>
  </si>
  <si>
    <t>756853064</t>
  </si>
  <si>
    <t>2921015</t>
  </si>
  <si>
    <t>YEs2Man</t>
  </si>
  <si>
    <t>30岁，已婚</t>
  </si>
  <si>
    <t>20240728124513956759300</t>
  </si>
  <si>
    <t>52秒</t>
  </si>
  <si>
    <t>247241560</t>
  </si>
  <si>
    <t>1222992</t>
  </si>
  <si>
    <t>YnDe</t>
  </si>
  <si>
    <t>吉祥物</t>
  </si>
  <si>
    <t>20240728145534392471330</t>
  </si>
  <si>
    <t>55秒</t>
  </si>
  <si>
    <t>qq2471651565</t>
  </si>
  <si>
    <t>3937497</t>
  </si>
  <si>
    <t>Ezraa</t>
  </si>
  <si>
    <t>读书</t>
  </si>
  <si>
    <t>20240728172650303840597</t>
  </si>
  <si>
    <t>9分46秒</t>
  </si>
  <si>
    <t>QQ：1317011026</t>
  </si>
  <si>
    <t>4651443</t>
  </si>
  <si>
    <t>忍共生</t>
  </si>
  <si>
    <t>20240728210739011781628</t>
  </si>
  <si>
    <t>9分15秒</t>
  </si>
  <si>
    <t>1427368289</t>
  </si>
  <si>
    <t>4536827</t>
  </si>
  <si>
    <t>20240728225216184550989</t>
  </si>
  <si>
    <t>27秒</t>
  </si>
  <si>
    <r>
      <rPr>
        <sz val="10"/>
        <color rgb="FF000000"/>
        <rFont val="微软雅黑"/>
        <charset val="134"/>
      </rPr>
      <t>MINI_Cooper</t>
    </r>
    <r>
      <rPr>
        <sz val="10"/>
        <color rgb="FF000000"/>
        <rFont val="微软雅黑"/>
        <charset val="134"/>
      </rPr>
      <t xml:space="preserve">
</t>
    </r>
  </si>
  <si>
    <t>740221391</t>
  </si>
  <si>
    <t>443956</t>
  </si>
  <si>
    <t>无敌哈老大</t>
  </si>
  <si>
    <t>20240728225354885361279</t>
  </si>
  <si>
    <t>1分13秒</t>
  </si>
  <si>
    <t>823663769</t>
  </si>
  <si>
    <t>鹦鹉哒哒</t>
  </si>
  <si>
    <t>20240728234858682955988</t>
  </si>
  <si>
    <t>4分53秒</t>
  </si>
  <si>
    <t>2709845659</t>
  </si>
  <si>
    <t>5525508</t>
  </si>
  <si>
    <t>骑马与砍杀第十届C组参赛队员</t>
  </si>
  <si>
    <t>20240729023029669676733</t>
  </si>
  <si>
    <t>22秒</t>
  </si>
  <si>
    <t>Q 2668013893</t>
  </si>
  <si>
    <t>4502486</t>
  </si>
  <si>
    <t>赖茵-哈杰</t>
  </si>
  <si>
    <t>20240729044858917933308</t>
  </si>
  <si>
    <t>3分28秒</t>
  </si>
  <si>
    <t>qq 2909975390</t>
  </si>
  <si>
    <t>4555111</t>
  </si>
  <si>
    <t>239108348</t>
  </si>
  <si>
    <t>在维兰当大头兵</t>
  </si>
  <si>
    <t>20240729092520571508302</t>
  </si>
  <si>
    <t>3分9秒</t>
  </si>
  <si>
    <t>1785075609</t>
  </si>
  <si>
    <t>4736098</t>
  </si>
  <si>
    <t>狼牙琚哥</t>
  </si>
  <si>
    <t>3岁尿过床</t>
  </si>
  <si>
    <t>20240729105846970586021</t>
  </si>
  <si>
    <t>1分12秒</t>
  </si>
  <si>
    <t>qq 1730107756</t>
  </si>
  <si>
    <t>3752591</t>
  </si>
  <si>
    <t>meiqinmei</t>
  </si>
  <si>
    <t>20240729134603346787305</t>
  </si>
  <si>
    <t>415540173</t>
  </si>
  <si>
    <t>5479257</t>
  </si>
  <si>
    <t>弹剑作歌</t>
  </si>
  <si>
    <t>战团萌新，求指导。</t>
  </si>
  <si>
    <t>20240729153148983000050</t>
  </si>
  <si>
    <t>1分26秒</t>
  </si>
  <si>
    <t>ZywOo</t>
  </si>
  <si>
    <t>3249382810</t>
  </si>
  <si>
    <t>3976752</t>
  </si>
  <si>
    <t>20240729161725416362987</t>
  </si>
  <si>
    <t>*</t>
  </si>
  <si>
    <t>4461507</t>
  </si>
  <si>
    <t>20240729164640539031299</t>
  </si>
  <si>
    <t>49分40秒</t>
  </si>
  <si>
    <t>1287049681</t>
  </si>
  <si>
    <t>1220198</t>
  </si>
  <si>
    <t>XcreeperX</t>
  </si>
  <si>
    <t>20240729165741072786487</t>
  </si>
  <si>
    <t>2386824359 QQ</t>
  </si>
  <si>
    <t>5333974</t>
  </si>
  <si>
    <t>被6个领主砍</t>
  </si>
  <si>
    <t>会走道会攻击</t>
  </si>
  <si>
    <t>20240729175231838202115</t>
  </si>
  <si>
    <t>46秒</t>
  </si>
  <si>
    <t>1159033707</t>
  </si>
  <si>
    <t>4284921</t>
  </si>
  <si>
    <t>海里伤心的鱼</t>
  </si>
  <si>
    <t>20240729182705395074328</t>
  </si>
  <si>
    <t>1067444962</t>
  </si>
  <si>
    <t>5588188</t>
  </si>
  <si>
    <t>DarlingAL</t>
  </si>
  <si>
    <t>第一届梦幻联赛10w选手</t>
  </si>
  <si>
    <t>20240729192045154079449</t>
  </si>
  <si>
    <t>57秒</t>
  </si>
  <si>
    <t>1641315497</t>
  </si>
  <si>
    <t>3593795</t>
  </si>
  <si>
    <t>1641315497@qq.com</t>
  </si>
  <si>
    <t>2017年加入联机，从此玩永恒七八年</t>
  </si>
  <si>
    <t>20240729203401638901410</t>
  </si>
  <si>
    <t>664985529</t>
  </si>
  <si>
    <t>忘了，等会儿发冲锋或者哪个管理得了</t>
  </si>
  <si>
    <t>孟起萌妻梦琪</t>
  </si>
  <si>
    <t>尸体</t>
  </si>
  <si>
    <t>20240729210724921277669</t>
  </si>
  <si>
    <t>1分18秒</t>
  </si>
  <si>
    <t>1905579389</t>
  </si>
  <si>
    <t>3697168</t>
  </si>
  <si>
    <t>wrf521125</t>
  </si>
  <si>
    <t>透明</t>
  </si>
  <si>
    <t>20240729214123202983697</t>
  </si>
  <si>
    <t>2分24秒</t>
  </si>
  <si>
    <t>13165697006</t>
  </si>
  <si>
    <t>441770</t>
  </si>
  <si>
    <t>白骨的梦</t>
  </si>
  <si>
    <t>111</t>
  </si>
  <si>
    <t>20240729222434999317151</t>
  </si>
  <si>
    <r>
      <rPr>
        <sz val="10"/>
        <color rgb="FF000000"/>
        <rFont val="微软雅黑"/>
        <charset val="134"/>
      </rPr>
      <t>1283169877</t>
    </r>
    <r>
      <rPr>
        <sz val="10"/>
        <color rgb="FF000000"/>
        <rFont val="微软雅黑"/>
        <charset val="134"/>
      </rPr>
      <t xml:space="preserve">                                                                </t>
    </r>
  </si>
  <si>
    <t>3346121</t>
  </si>
  <si>
    <t>maomaoren</t>
  </si>
  <si>
    <t>只想打比赛</t>
  </si>
  <si>
    <t>20240730002053343665382</t>
  </si>
  <si>
    <t>5分14秒</t>
  </si>
  <si>
    <t>2025942511</t>
  </si>
  <si>
    <t>3285438</t>
  </si>
  <si>
    <t>Joker大魔王</t>
  </si>
  <si>
    <t>十年pw难凉热血</t>
  </si>
  <si>
    <t>20240730112939752210618</t>
  </si>
  <si>
    <t>？没有吗你.大号被封了.小号在群里</t>
  </si>
  <si>
    <t>2760196/2923288</t>
  </si>
  <si>
    <t>Vai_manmiao_0w0</t>
  </si>
  <si>
    <t>呵呵</t>
  </si>
  <si>
    <t>20240730114712162213333</t>
  </si>
  <si>
    <t>2382468326</t>
  </si>
  <si>
    <t>3612750</t>
  </si>
  <si>
    <t>大师的风格</t>
  </si>
  <si>
    <t>20240730125752739290905</t>
  </si>
  <si>
    <t>3分23秒</t>
  </si>
  <si>
    <t>2546614802</t>
  </si>
  <si>
    <t>3637648</t>
  </si>
  <si>
    <t>心冷</t>
  </si>
  <si>
    <t>我是小山楂的爹</t>
  </si>
  <si>
    <t>白露丶</t>
  </si>
  <si>
    <t>四届联赛，一届梦幻联赛</t>
  </si>
  <si>
    <t>20240731134947776175035</t>
  </si>
  <si>
    <t>7分43秒</t>
  </si>
  <si>
    <t>3090674563</t>
  </si>
  <si>
    <t>4094831</t>
  </si>
  <si>
    <t>一个人的独行</t>
  </si>
  <si>
    <t>6年骑砍联赛老菜鸟</t>
  </si>
  <si>
    <t>20240731144503702175477</t>
  </si>
  <si>
    <t>4分11秒</t>
  </si>
  <si>
    <t>1017541891@qq.com</t>
  </si>
  <si>
    <t>不懂</t>
  </si>
  <si>
    <t>不记得</t>
  </si>
  <si>
    <t>1500小时联机时长</t>
  </si>
  <si>
    <t>20240731155401399968693</t>
  </si>
  <si>
    <t>2831215360</t>
  </si>
  <si>
    <t>1973574</t>
  </si>
  <si>
    <t>Super_TNT</t>
  </si>
  <si>
    <t>第一届梦幻联赛冠军</t>
  </si>
  <si>
    <t>20240731161442390397415</t>
  </si>
  <si>
    <t>1分20秒</t>
  </si>
  <si>
    <t>1172160080</t>
  </si>
  <si>
    <t>4087139</t>
  </si>
  <si>
    <t>TCXJ</t>
  </si>
  <si>
    <t>没有经历</t>
  </si>
  <si>
    <t>20240801180043969403876</t>
  </si>
  <si>
    <t>qq2364427028</t>
  </si>
  <si>
    <t>4583656</t>
  </si>
  <si>
    <t>Swiss_Raper</t>
  </si>
  <si>
    <t>20240802145028338668866</t>
  </si>
  <si>
    <t>1分34秒</t>
  </si>
  <si>
    <t>729396351</t>
  </si>
  <si>
    <t>1274164</t>
  </si>
  <si>
    <t>zjyhhh</t>
  </si>
  <si>
    <t>20240802210648841236831</t>
  </si>
  <si>
    <t>1分11秒</t>
  </si>
  <si>
    <t>631748516</t>
  </si>
  <si>
    <t>4558825</t>
  </si>
  <si>
    <t>hdfasoi</t>
  </si>
  <si>
    <t>20240802211113616365770</t>
  </si>
  <si>
    <t>1565798068</t>
  </si>
  <si>
    <t>3725490</t>
  </si>
  <si>
    <t>老马子</t>
  </si>
  <si>
    <t>射不准</t>
  </si>
  <si>
    <t>20240802220206700239309</t>
  </si>
  <si>
    <t>Q2369610841</t>
  </si>
  <si>
    <t>1931629</t>
  </si>
  <si>
    <t>型号ａ伊卡洛斯</t>
  </si>
  <si>
    <t>爱玩标枪</t>
  </si>
  <si>
    <t>20240802220221179919677</t>
  </si>
  <si>
    <t>1分56秒</t>
  </si>
  <si>
    <t>3247736739qq</t>
  </si>
  <si>
    <t>4560154</t>
  </si>
  <si>
    <t>唐氏步兵</t>
  </si>
  <si>
    <t>20240802224028435949240</t>
  </si>
  <si>
    <t>2631710684</t>
  </si>
  <si>
    <t>1957404</t>
  </si>
  <si>
    <t>Blackalit</t>
  </si>
  <si>
    <t>20240803015511418493258</t>
  </si>
  <si>
    <t>4分33秒</t>
  </si>
  <si>
    <t>1085550449</t>
  </si>
  <si>
    <t>5025507</t>
  </si>
  <si>
    <t>NeebdBlyat</t>
  </si>
  <si>
    <t>22 23届ea骑兵</t>
  </si>
  <si>
    <t>20240803145235610988994</t>
  </si>
  <si>
    <t>38秒</t>
  </si>
  <si>
    <t>3412315804</t>
  </si>
  <si>
    <t>5834401</t>
  </si>
  <si>
    <t>20240803190023968759200</t>
  </si>
  <si>
    <t>3分47秒</t>
  </si>
  <si>
    <t>18271224845</t>
  </si>
  <si>
    <t>5302450</t>
  </si>
  <si>
    <t>15646464</t>
  </si>
  <si>
    <t>20240804010131623201052</t>
  </si>
  <si>
    <t>48秒</t>
  </si>
  <si>
    <t>QQ1365688792</t>
  </si>
  <si>
    <t>1218913</t>
  </si>
  <si>
    <t>我忘了才怪</t>
  </si>
  <si>
    <t>新人玩家</t>
  </si>
  <si>
    <t>20240804011429624321762</t>
  </si>
  <si>
    <t>3分59秒</t>
  </si>
  <si>
    <t>1260158480</t>
  </si>
  <si>
    <t>3376636</t>
  </si>
  <si>
    <t>屮屮-艸艸</t>
  </si>
  <si>
    <t>不是二次元</t>
  </si>
  <si>
    <t>20240804110850754676232</t>
  </si>
  <si>
    <t>1063506194</t>
  </si>
  <si>
    <t>4640223</t>
  </si>
  <si>
    <t>Dold</t>
  </si>
  <si>
    <t>20240804121817585043534</t>
  </si>
  <si>
    <t>1分45秒</t>
  </si>
  <si>
    <t>2907463705</t>
  </si>
  <si>
    <t>4995906</t>
  </si>
  <si>
    <t>大头盖骨制造者HaiKou</t>
  </si>
  <si>
    <t>睡</t>
  </si>
  <si>
    <t>20240804130646179908531</t>
  </si>
  <si>
    <t>2分3秒</t>
  </si>
  <si>
    <t>1577919533</t>
  </si>
  <si>
    <t>4638884</t>
  </si>
  <si>
    <t>行666水</t>
  </si>
  <si>
    <t>23年战团联赛西楚二队射手</t>
  </si>
  <si>
    <t>20240804194203825201933</t>
  </si>
  <si>
    <t>5分9秒</t>
  </si>
  <si>
    <t>123113525</t>
  </si>
  <si>
    <t>4188988</t>
  </si>
  <si>
    <t>单纯丶爱胖胖</t>
  </si>
  <si>
    <t>20240804213923164054013</t>
  </si>
  <si>
    <t>1分55秒</t>
  </si>
  <si>
    <t>312899953</t>
  </si>
  <si>
    <t>4644504</t>
  </si>
  <si>
    <t>Yukino88P</t>
  </si>
  <si>
    <t>没有爱情 没有事业</t>
  </si>
  <si>
    <t>20240804214142860454031</t>
  </si>
  <si>
    <t>2653772937</t>
  </si>
  <si>
    <t>5782359</t>
  </si>
  <si>
    <t>0000000000PAC</t>
  </si>
  <si>
    <t>我是骑马与砍杀玩家</t>
  </si>
  <si>
    <t>20240805115335802846641</t>
  </si>
  <si>
    <t>3分5秒</t>
  </si>
  <si>
    <t>550011899</t>
  </si>
  <si>
    <t>4942996</t>
  </si>
  <si>
    <t>高三牲 参考价30w</t>
  </si>
  <si>
    <t>20240805153914237926075</t>
  </si>
  <si>
    <t>qq 1120813911</t>
  </si>
  <si>
    <t>4984623</t>
  </si>
  <si>
    <t>大将军112</t>
  </si>
  <si>
    <t>我是大将军，懂得都懂</t>
  </si>
  <si>
    <t>20240805154005140365756</t>
  </si>
  <si>
    <t>18073164920</t>
  </si>
  <si>
    <t>4807512</t>
  </si>
  <si>
    <t>影杀天</t>
  </si>
  <si>
    <t>玩的不少但是技术很菜</t>
  </si>
  <si>
    <t>20240805161310799735782</t>
  </si>
  <si>
    <t>2分22秒</t>
  </si>
  <si>
    <t>2449973041</t>
  </si>
  <si>
    <t>4518328</t>
  </si>
  <si>
    <t>3173849</t>
  </si>
  <si>
    <t>你好</t>
  </si>
  <si>
    <t>20240805182552848838070</t>
  </si>
  <si>
    <t>QQ：1137566589</t>
  </si>
  <si>
    <t>1935763</t>
  </si>
  <si>
    <t>汽油老司机</t>
  </si>
  <si>
    <t>20240807174947442410617</t>
  </si>
  <si>
    <t>11分20秒</t>
  </si>
  <si>
    <t>2338557689</t>
  </si>
  <si>
    <t>3528788</t>
  </si>
  <si>
    <t>ntfei</t>
  </si>
  <si>
    <t>20240808194729979631081</t>
  </si>
  <si>
    <t>4分29秒</t>
  </si>
  <si>
    <t>869114738</t>
  </si>
  <si>
    <t>1221910</t>
  </si>
  <si>
    <t>黑色轻骑兵</t>
  </si>
  <si>
    <t>20240808195252176092323</t>
  </si>
  <si>
    <t>5分54秒</t>
  </si>
  <si>
    <t>1441131090</t>
  </si>
  <si>
    <t>1222395</t>
  </si>
  <si>
    <t>重剑灬阿加特</t>
  </si>
  <si>
    <t>第一届梦幻联赛老五亚军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</si>
</sst>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微软雅黑"/>
      <charset val="134"/>
    </font>
    <font>
      <b/>
      <sz val="28"/>
      <color rgb="FFFFFFFF"/>
      <name val="微软雅黑"/>
      <charset val="134"/>
    </font>
    <font>
      <b/>
      <u/>
      <sz val="28"/>
      <color rgb="FF0000FF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FFFFFF"/>
      <name val="微软雅黑"/>
      <charset val="134"/>
    </font>
    <font>
      <b/>
      <sz val="14"/>
      <color rgb="FFFFFFFF"/>
      <name val="Segoe UI Emoji"/>
      <charset val="134"/>
    </font>
    <font>
      <b/>
      <sz val="15"/>
      <color theme="1"/>
      <name val="微软雅黑"/>
      <charset val="134"/>
    </font>
    <font>
      <u/>
      <sz val="10"/>
      <color rgb="FF0000FF"/>
      <name val="微软雅黑"/>
      <charset val="134"/>
    </font>
    <font>
      <sz val="16.5"/>
      <color theme="1"/>
      <name val="微软雅黑"/>
      <charset val="134"/>
    </font>
    <font>
      <b/>
      <sz val="10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0"/>
      <color rgb="FF000000"/>
      <name val="微软雅黑"/>
      <charset val="134"/>
    </font>
    <font>
      <sz val="20"/>
      <color theme="1"/>
      <name val="楷体"/>
      <charset val="134"/>
    </font>
    <font>
      <sz val="11"/>
      <color theme="1"/>
      <name val="宋体"/>
      <charset val="134"/>
      <scheme val="minor"/>
    </font>
    <font>
      <b/>
      <sz val="18"/>
      <color rgb="FF000000"/>
      <name val="楷体"/>
      <charset val="134"/>
    </font>
    <font>
      <b/>
      <sz val="20"/>
      <color theme="1"/>
      <name val="楷体"/>
      <charset val="134"/>
    </font>
    <font>
      <b/>
      <sz val="12"/>
      <color theme="0"/>
      <name val="微软雅黑"/>
      <charset val="134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FFFFFF"/>
      <name val="楷体"/>
      <charset val="134"/>
    </font>
    <font>
      <b/>
      <sz val="20"/>
      <color rgb="FFFFFFFF"/>
      <name val="楷体"/>
      <charset val="134"/>
    </font>
    <font>
      <b/>
      <sz val="20"/>
      <color rgb="FFFFFFFF"/>
      <name val="微软雅黑"/>
      <charset val="134"/>
    </font>
    <font>
      <b/>
      <sz val="22"/>
      <color theme="1"/>
      <name val="微软雅黑"/>
      <charset val="134"/>
    </font>
    <font>
      <b/>
      <sz val="22"/>
      <color rgb="FF000000"/>
      <name val="微软雅黑"/>
      <charset val="134"/>
    </font>
    <font>
      <b/>
      <sz val="14"/>
      <color rgb="FFFF0000"/>
      <name val="微软雅黑"/>
      <charset val="134"/>
    </font>
    <font>
      <b/>
      <sz val="14"/>
      <color rgb="FFF4B183"/>
      <name val="微软雅黑"/>
      <charset val="134"/>
    </font>
    <font>
      <b/>
      <sz val="14"/>
      <color theme="0"/>
      <name val="微软雅黑"/>
      <charset val="134"/>
    </font>
    <font>
      <sz val="2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7030A0"/>
        <bgColor rgb="FF5B9BD5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595959"/>
      </right>
      <top style="double">
        <color rgb="FF000000"/>
      </top>
      <bottom/>
      <diagonal/>
    </border>
    <border>
      <left/>
      <right style="thin">
        <color rgb="FF595959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EDEDED"/>
      </right>
      <top style="double">
        <color rgb="FF000000"/>
      </top>
      <bottom/>
      <diagonal/>
    </border>
    <border>
      <left/>
      <right style="thin">
        <color rgb="FFEDEDED"/>
      </right>
      <top style="double">
        <color rgb="FF000000"/>
      </top>
      <bottom/>
      <diagonal/>
    </border>
    <border>
      <left style="double">
        <color rgb="FF000000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FFFFFF"/>
      </bottom>
      <diagonal/>
    </border>
    <border>
      <left style="double">
        <color rgb="FF000000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double">
        <color rgb="FF00000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double">
        <color rgb="FF000000"/>
      </left>
      <right style="thin">
        <color rgb="FFEDEDED"/>
      </right>
      <top style="thin">
        <color rgb="FFEDEDED"/>
      </top>
      <bottom style="double">
        <color rgb="FF000000"/>
      </bottom>
      <diagonal/>
    </border>
    <border>
      <left style="thin">
        <color rgb="FFEDEDED"/>
      </left>
      <right/>
      <top style="thin">
        <color rgb="FFEDEDED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FFFFFF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>
      <alignment vertical="center"/>
    </xf>
    <xf numFmtId="44" fontId="26" fillId="0" borderId="0">
      <alignment vertical="center"/>
    </xf>
    <xf numFmtId="9" fontId="26" fillId="0" borderId="0">
      <alignment vertical="center"/>
    </xf>
    <xf numFmtId="41" fontId="26" fillId="0" borderId="0">
      <alignment vertical="center"/>
    </xf>
    <xf numFmtId="42" fontId="26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26" fillId="20" borderId="47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6" fillId="0" borderId="48">
      <alignment vertical="center"/>
    </xf>
    <xf numFmtId="0" fontId="47" fillId="0" borderId="48">
      <alignment vertical="center"/>
    </xf>
    <xf numFmtId="0" fontId="48" fillId="0" borderId="49">
      <alignment vertical="center"/>
    </xf>
    <xf numFmtId="0" fontId="48" fillId="0" borderId="0">
      <alignment vertical="center"/>
    </xf>
    <xf numFmtId="0" fontId="49" fillId="21" borderId="50">
      <alignment vertical="center"/>
    </xf>
    <xf numFmtId="0" fontId="50" fillId="22" borderId="51">
      <alignment vertical="center"/>
    </xf>
    <xf numFmtId="0" fontId="51" fillId="22" borderId="50">
      <alignment vertical="center"/>
    </xf>
    <xf numFmtId="0" fontId="52" fillId="23" borderId="52">
      <alignment vertical="center"/>
    </xf>
    <xf numFmtId="0" fontId="53" fillId="0" borderId="53">
      <alignment vertical="center"/>
    </xf>
    <xf numFmtId="0" fontId="54" fillId="0" borderId="54">
      <alignment vertical="center"/>
    </xf>
    <xf numFmtId="0" fontId="55" fillId="24" borderId="0">
      <alignment vertical="center"/>
    </xf>
    <xf numFmtId="0" fontId="56" fillId="25" borderId="0">
      <alignment vertical="center"/>
    </xf>
    <xf numFmtId="0" fontId="57" fillId="26" borderId="0">
      <alignment vertical="center"/>
    </xf>
    <xf numFmtId="0" fontId="58" fillId="27" borderId="0">
      <alignment vertical="center"/>
    </xf>
    <xf numFmtId="0" fontId="59" fillId="28" borderId="0">
      <alignment vertical="center"/>
    </xf>
    <xf numFmtId="0" fontId="59" fillId="29" borderId="0">
      <alignment vertical="center"/>
    </xf>
    <xf numFmtId="0" fontId="58" fillId="30" borderId="0">
      <alignment vertical="center"/>
    </xf>
    <xf numFmtId="0" fontId="58" fillId="31" borderId="0">
      <alignment vertical="center"/>
    </xf>
    <xf numFmtId="0" fontId="59" fillId="32" borderId="0">
      <alignment vertical="center"/>
    </xf>
    <xf numFmtId="0" fontId="59" fillId="33" borderId="0">
      <alignment vertical="center"/>
    </xf>
    <xf numFmtId="0" fontId="58" fillId="34" borderId="0">
      <alignment vertical="center"/>
    </xf>
    <xf numFmtId="0" fontId="58" fillId="35" borderId="0">
      <alignment vertical="center"/>
    </xf>
    <xf numFmtId="0" fontId="59" fillId="36" borderId="0">
      <alignment vertical="center"/>
    </xf>
    <xf numFmtId="0" fontId="59" fillId="37" borderId="0">
      <alignment vertical="center"/>
    </xf>
    <xf numFmtId="0" fontId="58" fillId="38" borderId="0">
      <alignment vertical="center"/>
    </xf>
    <xf numFmtId="0" fontId="58" fillId="39" borderId="0">
      <alignment vertical="center"/>
    </xf>
    <xf numFmtId="0" fontId="59" fillId="40" borderId="0">
      <alignment vertical="center"/>
    </xf>
    <xf numFmtId="0" fontId="59" fillId="41" borderId="0">
      <alignment vertical="center"/>
    </xf>
    <xf numFmtId="0" fontId="58" fillId="42" borderId="0">
      <alignment vertical="center"/>
    </xf>
    <xf numFmtId="0" fontId="58" fillId="43" borderId="0">
      <alignment vertical="center"/>
    </xf>
    <xf numFmtId="0" fontId="59" fillId="44" borderId="0">
      <alignment vertical="center"/>
    </xf>
    <xf numFmtId="0" fontId="59" fillId="45" borderId="0">
      <alignment vertical="center"/>
    </xf>
    <xf numFmtId="0" fontId="58" fillId="46" borderId="0">
      <alignment vertical="center"/>
    </xf>
    <xf numFmtId="0" fontId="58" fillId="47" borderId="0">
      <alignment vertical="center"/>
    </xf>
    <xf numFmtId="0" fontId="59" fillId="48" borderId="0">
      <alignment vertical="center"/>
    </xf>
    <xf numFmtId="0" fontId="59" fillId="49" borderId="0">
      <alignment vertical="center"/>
    </xf>
    <xf numFmtId="0" fontId="58" fillId="50" borderId="0">
      <alignment vertical="center"/>
    </xf>
  </cellStyleXfs>
  <cellXfs count="18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2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  <xf numFmtId="22" fontId="2" fillId="2" borderId="0" xfId="0" applyNumberFormat="1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11" xfId="0" applyBorder="1" applyAlignment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4" fillId="14" borderId="0" xfId="6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6" fillId="15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6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8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2" fillId="9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14" xfId="0" applyBorder="1" applyAlignment="1"/>
    <xf numFmtId="0" fontId="28" fillId="0" borderId="0" xfId="0" applyFont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29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12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9" fillId="12" borderId="21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17" borderId="24" xfId="0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0" fontId="11" fillId="17" borderId="26" xfId="0" applyFont="1" applyFill="1" applyBorder="1" applyAlignment="1">
      <alignment horizontal="center" vertical="center"/>
    </xf>
    <xf numFmtId="0" fontId="30" fillId="5" borderId="10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11" fillId="5" borderId="27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0" fillId="0" borderId="30" xfId="0" applyBorder="1" applyAlignment="1"/>
    <xf numFmtId="0" fontId="11" fillId="5" borderId="31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8" borderId="33" xfId="0" applyFont="1" applyFill="1" applyBorder="1" applyAlignment="1">
      <alignment horizontal="center" vertical="center"/>
    </xf>
    <xf numFmtId="0" fontId="0" fillId="0" borderId="34" xfId="0" applyBorder="1" applyAlignment="1"/>
    <xf numFmtId="0" fontId="33" fillId="0" borderId="0" xfId="0" applyFont="1" applyAlignment="1">
      <alignment horizontal="center" vertical="center"/>
    </xf>
    <xf numFmtId="0" fontId="32" fillId="9" borderId="33" xfId="0" applyFont="1" applyFill="1" applyBorder="1" applyAlignment="1">
      <alignment horizontal="center" vertical="center"/>
    </xf>
    <xf numFmtId="0" fontId="9" fillId="18" borderId="35" xfId="0" applyFont="1" applyFill="1" applyBorder="1" applyAlignment="1">
      <alignment horizontal="center" vertical="center"/>
    </xf>
    <xf numFmtId="0" fontId="9" fillId="18" borderId="36" xfId="0" applyFont="1" applyFill="1" applyBorder="1" applyAlignment="1">
      <alignment horizontal="center" vertical="center"/>
    </xf>
    <xf numFmtId="0" fontId="9" fillId="18" borderId="37" xfId="0" applyFont="1" applyFill="1" applyBorder="1" applyAlignment="1">
      <alignment horizontal="center" vertical="center"/>
    </xf>
    <xf numFmtId="0" fontId="34" fillId="8" borderId="38" xfId="0" applyFont="1" applyFill="1" applyBorder="1" applyAlignment="1">
      <alignment horizontal="center" vertical="center"/>
    </xf>
    <xf numFmtId="0" fontId="34" fillId="9" borderId="3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 wrapText="1"/>
    </xf>
    <xf numFmtId="0" fontId="10" fillId="8" borderId="4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9" borderId="39" xfId="0" applyFont="1" applyFill="1" applyBorder="1" applyAlignment="1">
      <alignment horizontal="center" vertical="center" wrapText="1"/>
    </xf>
    <xf numFmtId="0" fontId="10" fillId="9" borderId="40" xfId="0" applyFont="1" applyFill="1" applyBorder="1" applyAlignment="1">
      <alignment horizontal="center" vertical="center" wrapText="1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42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0" fillId="0" borderId="45" xfId="0" applyBorder="1" applyAlignment="1"/>
    <xf numFmtId="0" fontId="10" fillId="9" borderId="43" xfId="0" applyFont="1" applyFill="1" applyBorder="1" applyAlignment="1">
      <alignment horizontal="center" vertical="center"/>
    </xf>
    <xf numFmtId="0" fontId="10" fillId="9" borderId="44" xfId="0" applyFont="1" applyFill="1" applyBorder="1" applyAlignment="1">
      <alignment horizontal="center" vertical="center"/>
    </xf>
    <xf numFmtId="0" fontId="27" fillId="6" borderId="15" xfId="0" applyFont="1" applyFill="1" applyBorder="1" applyAlignment="1">
      <alignment horizontal="center" vertical="center"/>
    </xf>
    <xf numFmtId="0" fontId="27" fillId="7" borderId="15" xfId="0" applyFont="1" applyFill="1" applyBorder="1" applyAlignment="1">
      <alignment horizontal="center" vertical="center"/>
    </xf>
    <xf numFmtId="0" fontId="29" fillId="12" borderId="27" xfId="0" applyFont="1" applyFill="1" applyBorder="1" applyAlignment="1">
      <alignment horizontal="center" vertical="center"/>
    </xf>
    <xf numFmtId="0" fontId="10" fillId="12" borderId="46" xfId="0" applyFont="1" applyFill="1" applyBorder="1" applyAlignment="1">
      <alignment horizontal="center" vertical="center"/>
    </xf>
    <xf numFmtId="0" fontId="30" fillId="6" borderId="10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32" fillId="10" borderId="33" xfId="0" applyFont="1" applyFill="1" applyBorder="1" applyAlignment="1">
      <alignment horizontal="center" vertical="center"/>
    </xf>
    <xf numFmtId="0" fontId="32" fillId="11" borderId="33" xfId="0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/>
    </xf>
    <xf numFmtId="0" fontId="34" fillId="11" borderId="38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0" fontId="10" fillId="11" borderId="39" xfId="0" applyFont="1" applyFill="1" applyBorder="1" applyAlignment="1">
      <alignment horizontal="center"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10" fillId="10" borderId="41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center" vertical="center"/>
    </xf>
    <xf numFmtId="0" fontId="10" fillId="11" borderId="41" xfId="0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 wrapText="1"/>
    </xf>
    <xf numFmtId="0" fontId="10" fillId="10" borderId="44" xfId="0" applyFont="1" applyFill="1" applyBorder="1" applyAlignment="1">
      <alignment horizontal="center" vertical="center"/>
    </xf>
    <xf numFmtId="0" fontId="10" fillId="11" borderId="43" xfId="0" applyFont="1" applyFill="1" applyBorder="1" applyAlignment="1">
      <alignment horizontal="center" vertical="center"/>
    </xf>
    <xf numFmtId="0" fontId="10" fillId="11" borderId="4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6" fillId="19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19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11" fillId="17" borderId="26" xfId="0" applyFont="1" applyFill="1" applyBorder="1" applyAlignment="1" quotePrefix="1">
      <alignment horizontal="center" vertical="center"/>
    </xf>
    <xf numFmtId="0" fontId="11" fillId="17" borderId="2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ill>
        <patternFill patternType="solid">
          <bgColor rgb="FFFF0C01"/>
        </patternFill>
      </fill>
    </dxf>
    <dxf>
      <font>
        <b val="1"/>
        <i val="1"/>
        <color rgb="FF5B9BD5"/>
      </font>
    </dxf>
    <dxf>
      <font>
        <b val="1"/>
        <i val="1"/>
        <color rgb="FFC55A11"/>
      </font>
    </dxf>
    <dxf>
      <font>
        <b val="1"/>
        <i val="1"/>
        <color rgb="FFFF338F"/>
      </font>
    </dxf>
    <dxf>
      <font>
        <b val="1"/>
        <color rgb="FF00B050"/>
      </font>
    </dxf>
    <dxf>
      <font>
        <b val="1"/>
        <color rgb="FFC55A11"/>
      </font>
    </dxf>
    <dxf>
      <font>
        <b val="1"/>
        <color rgb="FFFF0000"/>
      </font>
    </dxf>
    <dxf>
      <font>
        <b val="1"/>
        <color rgb="FF000000"/>
      </font>
      <fill>
        <patternFill patternType="solid">
          <bgColor rgb="FFFEEB9B"/>
        </patternFill>
      </fill>
    </dxf>
    <dxf>
      <font>
        <color rgb="FF000000"/>
      </font>
      <fill>
        <patternFill patternType="solid">
          <bgColor rgb="FF548235"/>
        </patternFill>
      </fill>
    </dxf>
    <dxf>
      <font>
        <color rgb="FF000000"/>
      </font>
      <fill>
        <patternFill patternType="solid">
          <bgColor rgb="FF2E75B6"/>
        </patternFill>
      </fill>
    </dxf>
    <dxf>
      <font>
        <color rgb="FF000000"/>
      </font>
      <fill>
        <patternFill patternType="solid">
          <bgColor rgb="FF7030A0"/>
        </patternFill>
      </fill>
    </dxf>
    <dxf>
      <font>
        <color rgb="FF000000"/>
      </font>
      <fill>
        <patternFill patternType="solid">
          <bgColor rgb="FF333F50"/>
        </patternFill>
      </fill>
    </dxf>
    <dxf>
      <font>
        <color rgb="FF000000"/>
      </font>
      <fill>
        <patternFill patternType="solid">
          <bgColor rgb="FFE2F0D9"/>
        </patternFill>
      </fill>
    </dxf>
    <dxf>
      <font>
        <color rgb="FF000000"/>
      </font>
      <fill>
        <patternFill patternType="solid">
          <bgColor rgb="FFDEEBF7"/>
        </patternFill>
      </fill>
    </dxf>
    <dxf>
      <font>
        <color rgb="FF000000"/>
      </font>
      <fill>
        <patternFill patternType="solid">
          <bgColor rgb="FFFFF2CC"/>
        </patternFill>
      </fill>
    </dxf>
    <dxf>
      <font>
        <color rgb="FF000000"/>
      </font>
      <fill>
        <patternFill patternType="solid">
          <bgColor rgb="FFFBE5D6"/>
        </patternFill>
      </fill>
    </dxf>
    <dxf>
      <font>
        <b val="1"/>
        <color rgb="FFFFFFFF"/>
      </font>
      <fill>
        <patternFill patternType="solid">
          <bgColor rgb="FF5B9BD5"/>
        </patternFill>
      </fill>
    </dxf>
    <dxf>
      <font>
        <b val="1"/>
        <color rgb="FFFFFFFF"/>
      </font>
      <fill>
        <patternFill patternType="solid">
          <bgColor rgb="FFFF8E94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000000"/>
      </font>
      <fill>
        <patternFill patternType="solid">
          <bgColor rgb="FFC8C8C8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B"/>
      </font>
      <fill>
        <patternFill patternType="solid">
          <bgColor rgb="FFF2F2F2"/>
        </patternFill>
      </fill>
    </dxf>
    <dxf>
      <font>
        <b val="1"/>
        <color rgb="FFC00000"/>
      </font>
      <fill>
        <patternFill patternType="solid">
          <bgColor rgb="FFFEC8CE"/>
        </patternFill>
      </fill>
    </dxf>
    <dxf>
      <font>
        <b val="1"/>
        <color rgb="FF2E6334"/>
      </font>
      <fill>
        <patternFill patternType="solid">
          <bgColor rgb="FFC7EFCE"/>
        </patternFill>
      </fill>
    </dxf>
    <dxf>
      <font>
        <b val="1"/>
        <color rgb="FF4472C4"/>
      </font>
      <fill>
        <patternFill patternType="solid">
          <bgColor rgb="FFDEEBF7"/>
        </patternFill>
      </fill>
    </dxf>
    <dxf>
      <font>
        <b val="1"/>
        <color rgb="FF385723"/>
      </font>
    </dxf>
    <dxf>
      <font>
        <b val="1"/>
        <color rgb="FF4472C4"/>
      </font>
    </dxf>
    <dxf>
      <font>
        <b val="1"/>
        <color rgb="FF7030A0"/>
      </font>
    </dxf>
    <dxf>
      <font>
        <b val="1"/>
        <color rgb="FF203864"/>
      </font>
    </dxf>
    <dxf>
      <font>
        <b val="1"/>
        <color rgb="FF70AD47"/>
      </font>
    </dxf>
    <dxf>
      <font>
        <b val="1"/>
        <color rgb="FF00B0F0"/>
      </font>
    </dxf>
    <dxf>
      <font>
        <b val="1"/>
        <color rgb="FFBF9000"/>
      </font>
    </dxf>
    <dxf>
      <font>
        <b val="1"/>
        <color rgb="FFED7D3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firstRowStripe" dxfId="49"/>
      <tableStyleElement type="firstColumnStripe" dxfId="48"/>
    </tableStyle>
    <tableStyle name="PivotStylePreset2_Accent1" table="0" count="10" xr9:uid="{267968C8-6FFD-4C36-ACC1-9EA1FD1885CA}">
      <tableStyleElement type="headerRow" dxfId="64"/>
      <tableStyleElement type="totalRow" dxfId="63"/>
      <tableStyleElement type="firstRowStripe" dxfId="62"/>
      <tableStyleElement type="firstColumnStripe" dxfId="61"/>
      <tableStyleElement type="firstSubtotalRow" dxfId="60"/>
      <tableStyleElement type="secondSubtotalRow" dxfId="59"/>
      <tableStyleElement type="firstRowSubheading" dxfId="58"/>
      <tableStyleElement type="secondRowSubheading" dxfId="57"/>
      <tableStyleElement type="pageFieldLabels" dxfId="56"/>
      <tableStyleElement type="pageFieldValues" dxfId="5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kdocs.cn/l/cd1pt4d5tP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357"/>
  <sheetViews>
    <sheetView zoomScale="85" zoomScaleNormal="85" workbookViewId="0">
      <pane ySplit="11" topLeftCell="A12" activePane="bottomLeft" state="frozen"/>
      <selection/>
      <selection pane="bottomLeft" activeCell="B126" sqref="B126"/>
    </sheetView>
  </sheetViews>
  <sheetFormatPr defaultColWidth="8" defaultRowHeight="16.5" outlineLevelCol="5"/>
  <cols>
    <col min="1" max="1" width="37" style="16" customWidth="1"/>
    <col min="2" max="2" width="39.5555555555556" style="16" customWidth="1"/>
    <col min="3" max="3" width="89.4444444444444" style="16" customWidth="1"/>
    <col min="4" max="4" width="52.4444444444444" style="16" customWidth="1"/>
    <col min="5" max="5" width="34.4444444444444" style="16" customWidth="1"/>
    <col min="6" max="6" width="24.2222222222222" style="16" customWidth="1"/>
    <col min="7" max="7" width="13.4444444444444" style="16" customWidth="1"/>
    <col min="8" max="16384" width="8" style="16" customWidth="1"/>
  </cols>
  <sheetData>
    <row r="1" ht="40.5" customHeight="1" spans="1:5">
      <c r="A1" s="178" t="s">
        <v>0</v>
      </c>
      <c r="E1" s="179"/>
    </row>
    <row r="2" ht="21" customHeight="1" spans="1:5">
      <c r="A2" s="170" t="s">
        <v>1</v>
      </c>
      <c r="B2" s="170" t="s">
        <v>2</v>
      </c>
      <c r="C2" s="170" t="s">
        <v>3</v>
      </c>
      <c r="D2" s="170" t="s">
        <v>4</v>
      </c>
      <c r="E2" s="170" t="s">
        <v>5</v>
      </c>
    </row>
    <row r="3" ht="35.1" customHeight="1" spans="1:5">
      <c r="A3" s="72" t="s">
        <v>6</v>
      </c>
      <c r="B3" s="180">
        <f>队伍收入状况!D2</f>
        <v>2250</v>
      </c>
      <c r="C3" s="181">
        <f>B3-SUMIFS(交易历史!B:B,交易历史!C:C,A3,交易历史!E:E,"首次交易")+SUMIFS(交易历史!B:B,交易历史!D:D,A3,交易历史!E:E,"首次交易")-SUMIFS(交易历史!B:B,交易历史!C:C,A3,交易历史!E:E,"二次交易")+SUMIFS(交易历史!B:B,交易历史!D:D,A3,交易历史!E:E,"二次交易")-SUMIFS(交易历史!B:B,交易历史!C:C,A3,交易历史!E:E,"三次交易")+SUMIFS(交易历史!B:B,交易历史!D:D,A3,交易历史!E:E,"三次交易")-SUMIFS(交易历史!B:B,交易历史!C:C,A3,交易历史!E:E,"四次交易")+SUMIFS(交易历史!B:B,交易历史!D:D,A3,交易历史!E:E,"四次交易")</f>
        <v>20</v>
      </c>
      <c r="D3" s="182" t="str">
        <f t="shared" ref="D3:D10" si="0">IF(C3&lt;=0,"超支",IF(C3&lt;=500,"即将超支，剩余"&amp;TEXT(C3,"0")&amp;"W第纳尔","资金状况良好"))</f>
        <v>即将超支，剩余20W第纳尔</v>
      </c>
      <c r="E3" s="171" t="s">
        <v>7</v>
      </c>
    </row>
    <row r="4" ht="35.1" customHeight="1" spans="1:5">
      <c r="A4" s="77" t="s">
        <v>8</v>
      </c>
      <c r="B4" s="180">
        <f>队伍收入状况!D3</f>
        <v>2550</v>
      </c>
      <c r="C4" s="181">
        <f>B4-SUMIFS(交易历史!B:B,交易历史!C:C,A4,交易历史!E:E,"首次交易")+SUMIFS(交易历史!B:B,交易历史!D:D,A4,交易历史!E:E,"首次交易")-SUMIFS(交易历史!B:B,交易历史!C:C,A4,交易历史!E:E,"二次交易")+SUMIFS(交易历史!B:B,交易历史!D:D,A4,交易历史!E:E,"二次交易")-SUMIFS(交易历史!B:B,交易历史!C:C,A4,交易历史!E:E,"三次交易")+SUMIFS(交易历史!B:B,交易历史!D:D,A4,交易历史!E:E,"三次交易")-SUMIFS(交易历史!B:B,交易历史!C:C,A4,交易历史!E:E,"四次交易")+SUMIFS(交易历史!B:B,交易历史!D:D,A4,交易历史!E:E,"四次交易")</f>
        <v>0</v>
      </c>
      <c r="D4" s="182" t="str">
        <f t="shared" si="0"/>
        <v>超支</v>
      </c>
      <c r="E4" s="171" t="s">
        <v>9</v>
      </c>
    </row>
    <row r="5" ht="35.1" customHeight="1" spans="1:5">
      <c r="A5" s="78" t="s">
        <v>10</v>
      </c>
      <c r="B5" s="180">
        <f>队伍收入状况!D4</f>
        <v>2100</v>
      </c>
      <c r="C5" s="181">
        <f>B5-SUMIFS(交易历史!B:B,交易历史!C:C,A5,交易历史!E:E,"首次交易")+SUMIFS(交易历史!B:B,交易历史!D:D,A5,交易历史!E:E,"首次交易")-SUMIFS(交易历史!B:B,交易历史!C:C,A5,交易历史!E:E,"二次交易")+SUMIFS(交易历史!B:B,交易历史!D:D,A5,交易历史!E:E,"二次交易")-SUMIFS(交易历史!B:B,交易历史!C:C,A5,交易历史!E:E,"三次交易")+SUMIFS(交易历史!B:B,交易历史!D:D,A5,交易历史!E:E,"三次交易")-SUMIFS(交易历史!B:B,交易历史!C:C,A5,交易历史!E:E,"四次交易")+SUMIFS(交易历史!B:B,交易历史!D:D,A5,交易历史!E:E,"四次交易")</f>
        <v>30</v>
      </c>
      <c r="D5" s="182" t="str">
        <f t="shared" si="0"/>
        <v>即将超支，剩余30W第纳尔</v>
      </c>
      <c r="E5" s="171" t="s">
        <v>11</v>
      </c>
    </row>
    <row r="6" ht="35.1" customHeight="1" spans="1:5">
      <c r="A6" s="79" t="s">
        <v>12</v>
      </c>
      <c r="B6" s="180">
        <f>队伍收入状况!D5</f>
        <v>2200</v>
      </c>
      <c r="C6" s="181">
        <f>B6-SUMIFS(交易历史!B:B,交易历史!C:C,A6,交易历史!E:E,"首次交易")+SUMIFS(交易历史!B:B,交易历史!D:D,A6,交易历史!E:E,"首次交易")-SUMIFS(交易历史!B:B,交易历史!C:C,A6,交易历史!E:E,"二次交易")+SUMIFS(交易历史!B:B,交易历史!D:D,A6,交易历史!E:E,"二次交易")-SUMIFS(交易历史!B:B,交易历史!C:C,A6,交易历史!E:E,"三次交易")+SUMIFS(交易历史!B:B,交易历史!D:D,A6,交易历史!E:E,"三次交易")-SUMIFS(交易历史!B:B,交易历史!C:C,A6,交易历史!E:E,"四次交易")+SUMIFS(交易历史!B:B,交易历史!D:D,A6,交易历史!E:E,"四次交易")</f>
        <v>630</v>
      </c>
      <c r="D6" s="182" t="str">
        <f t="shared" si="0"/>
        <v>资金状况良好</v>
      </c>
      <c r="E6" s="171" t="s">
        <v>13</v>
      </c>
    </row>
    <row r="7" ht="35.1" customHeight="1" spans="1:5">
      <c r="A7" s="80" t="s">
        <v>14</v>
      </c>
      <c r="B7" s="180">
        <f>队伍收入状况!D6</f>
        <v>2200</v>
      </c>
      <c r="C7" s="181">
        <f>B7-SUMIFS(交易历史!B:B,交易历史!C:C,A7,交易历史!E:E,"首次交易")+SUMIFS(交易历史!B:B,交易历史!D:D,A7,交易历史!E:E,"首次交易")-SUMIFS(交易历史!B:B,交易历史!C:C,A7,交易历史!E:E,"二次交易")+SUMIFS(交易历史!B:B,交易历史!D:D,A7,交易历史!E:E,"二次交易")-SUMIFS(交易历史!B:B,交易历史!C:C,A7,交易历史!E:E,"三次交易")+SUMIFS(交易历史!B:B,交易历史!D:D,A7,交易历史!E:E,"三次交易")-SUMIFS(交易历史!B:B,交易历史!C:C,A7,交易历史!E:E,"四次交易")+SUMIFS(交易历史!B:B,交易历史!D:D,A7,交易历史!E:E,"四次交易")</f>
        <v>90</v>
      </c>
      <c r="D7" s="182" t="str">
        <f t="shared" si="0"/>
        <v>即将超支，剩余90W第纳尔</v>
      </c>
      <c r="E7" s="171" t="s">
        <v>15</v>
      </c>
    </row>
    <row r="8" ht="35.1" customHeight="1" spans="1:5">
      <c r="A8" s="82" t="s">
        <v>16</v>
      </c>
      <c r="B8" s="180">
        <f>队伍收入状况!D7</f>
        <v>2200</v>
      </c>
      <c r="C8" s="181">
        <f>B8-SUMIFS(交易历史!B:B,交易历史!C:C,A8,交易历史!E:E,"首次交易")+SUMIFS(交易历史!B:B,交易历史!D:D,A8,交易历史!E:E,"首次交易")-SUMIFS(交易历史!B:B,交易历史!C:C,A8,交易历史!E:E,"二次交易")+SUMIFS(交易历史!B:B,交易历史!D:D,A8,交易历史!E:E,"二次交易")-SUMIFS(交易历史!B:B,交易历史!C:C,A8,交易历史!E:E,"三次交易")+SUMIFS(交易历史!B:B,交易历史!D:D,A8,交易历史!E:E,"三次交易")-SUMIFS(交易历史!B:B,交易历史!C:C,A8,交易历史!E:E,"四次交易")+SUMIFS(交易历史!B:B,交易历史!D:D,A8,交易历史!E:E,"四次交易")</f>
        <v>90</v>
      </c>
      <c r="D8" s="182" t="str">
        <f t="shared" si="0"/>
        <v>即将超支，剩余90W第纳尔</v>
      </c>
      <c r="E8" s="171" t="s">
        <v>17</v>
      </c>
    </row>
    <row r="9" ht="35.1" customHeight="1" spans="1:5">
      <c r="A9" s="83" t="s">
        <v>18</v>
      </c>
      <c r="B9" s="180">
        <f>队伍收入状况!D8</f>
        <v>2750</v>
      </c>
      <c r="C9" s="181">
        <f>B9-SUMIFS(交易历史!B:B,交易历史!C:C,A9,交易历史!E:E,"首次交易")+SUMIFS(交易历史!B:B,交易历史!D:D,A9,交易历史!E:E,"首次交易")-SUMIFS(交易历史!B:B,交易历史!C:C,A9,交易历史!E:E,"二次交易")+SUMIFS(交易历史!B:B,交易历史!D:D,A9,交易历史!E:E,"二次交易")-SUMIFS(交易历史!B:B,交易历史!C:C,A9,交易历史!E:E,"三次交易")+SUMIFS(交易历史!B:B,交易历史!D:D,A9,交易历史!E:E,"三次交易")-SUMIFS(交易历史!B:B,交易历史!C:C,A9,交易历史!E:E,"四次交易")+SUMIFS(交易历史!B:B,交易历史!D:D,A9,交易历史!E:E,"四次交易")</f>
        <v>650</v>
      </c>
      <c r="D9" s="182" t="str">
        <f t="shared" si="0"/>
        <v>资金状况良好</v>
      </c>
      <c r="E9" s="171" t="s">
        <v>19</v>
      </c>
    </row>
    <row r="10" ht="35.1" customHeight="1" spans="1:5">
      <c r="A10" s="84" t="s">
        <v>20</v>
      </c>
      <c r="B10" s="180">
        <f>队伍收入状况!D9</f>
        <v>2700</v>
      </c>
      <c r="C10" s="181">
        <f>B10-SUMIFS(交易历史!B:B,交易历史!C:C,A10,交易历史!E:E,"首次交易")+SUMIFS(交易历史!B:B,交易历史!D:D,A10,交易历史!E:E,"首次交易")-SUMIFS(交易历史!B:B,交易历史!C:C,A10,交易历史!E:E,"二次交易")+SUMIFS(交易历史!B:B,交易历史!D:D,A10,交易历史!E:E,"二次交易")-SUMIFS(交易历史!B:B,交易历史!C:C,A10,交易历史!E:E,"三次交易")+SUMIFS(交易历史!B:B,交易历史!D:D,A10,交易历史!E:E,"三次交易")-SUMIFS(交易历史!B:B,交易历史!C:C,A10,交易历史!E:E,"四次交易")+SUMIFS(交易历史!B:B,交易历史!D:D,A10,交易历史!E:E,"四次交易")</f>
        <v>360</v>
      </c>
      <c r="D10" s="183" t="str">
        <f t="shared" si="0"/>
        <v>即将超支，剩余360W第纳尔</v>
      </c>
      <c r="E10" s="171" t="s">
        <v>21</v>
      </c>
    </row>
    <row r="11" ht="27.95" customHeight="1" spans="1:6">
      <c r="A11" s="184" t="s">
        <v>22</v>
      </c>
      <c r="B11" s="184" t="s">
        <v>23</v>
      </c>
      <c r="C11" s="170" t="s">
        <v>24</v>
      </c>
      <c r="D11" s="170" t="s">
        <v>25</v>
      </c>
      <c r="E11" s="170" t="s">
        <v>26</v>
      </c>
      <c r="F11" s="185"/>
    </row>
    <row r="12" ht="45" customHeight="1" spans="1:6">
      <c r="A12" s="171" t="s">
        <v>27</v>
      </c>
      <c r="B12" s="171" t="s">
        <v>28</v>
      </c>
      <c r="C12" s="171">
        <f>_xlfn.MAXIFS(交易历史!B:B,交易历史!A:A,A12)</f>
        <v>0</v>
      </c>
      <c r="D12" s="172" t="str">
        <f>INDEX(交易历史!C:C,MATCH(A12,交易历史!A:A,0))</f>
        <v>【G2】G2‭</v>
      </c>
      <c r="E12" s="186" t="str">
        <f t="shared" ref="E12:E18" si="1">IF(AND(NOT(ISBLANK(C12)),NOT(ISBLANK(D12)),ISERROR(SEARCH("流拍待定",D12))),"球员已拍定",IF(ISNUMBER(SEARCH("流拍待定",D12)),"流拍待定",IF(AND(OR(ISBLANK(C12),ISBLANK(D12)),NOT(ISBLANK(C11)),NOT(ISBLANK(D11))),"正在竞拍","")))</f>
        <v>球员已拍定</v>
      </c>
      <c r="F12"/>
    </row>
    <row r="13" ht="45" customHeight="1" spans="1:6">
      <c r="A13" s="171" t="s">
        <v>29</v>
      </c>
      <c r="B13" s="171" t="s">
        <v>30</v>
      </c>
      <c r="C13" s="174">
        <f>_xlfn.MAXIFS(交易历史!B:B,交易历史!A:A,A13)</f>
        <v>80</v>
      </c>
      <c r="D13" s="172" t="str">
        <f>INDEX(交易历史!C:C,MATCH(A13,交易历史!A:A,0))</f>
        <v>【SSR】Superior Super Rare</v>
      </c>
      <c r="E13" s="186" t="str">
        <f t="shared" si="1"/>
        <v>球员已拍定</v>
      </c>
      <c r="F13"/>
    </row>
    <row r="14" ht="45" customHeight="1" spans="1:6">
      <c r="A14" s="171" t="s">
        <v>31</v>
      </c>
      <c r="B14" s="171" t="s">
        <v>31</v>
      </c>
      <c r="C14" s="171">
        <f>_xlfn.MAXIFS(交易历史!B:B,交易历史!A:A,A14)</f>
        <v>0</v>
      </c>
      <c r="D14" s="172" t="str">
        <f>INDEX(交易历史!C:C,MATCH(A14,交易历史!A:A,0))</f>
        <v>【AWO】逃出生天</v>
      </c>
      <c r="E14" s="186" t="str">
        <f t="shared" si="1"/>
        <v>球员已拍定</v>
      </c>
      <c r="F14"/>
    </row>
    <row r="15" ht="45" customHeight="1" spans="1:6">
      <c r="A15" s="171" t="s">
        <v>32</v>
      </c>
      <c r="B15" s="171" t="s">
        <v>33</v>
      </c>
      <c r="C15" s="171">
        <f>_xlfn.MAXIFS(交易历史!B:B,交易历史!A:A,A15)</f>
        <v>320</v>
      </c>
      <c r="D15" s="172" t="str">
        <f>INDEX(交易历史!C:C,MATCH(A15,交易历史!A:A,0))</f>
        <v>【NikoFC】NikoCN Fanclub</v>
      </c>
      <c r="E15" s="186" t="str">
        <f t="shared" si="1"/>
        <v>球员已拍定</v>
      </c>
      <c r="F15"/>
    </row>
    <row r="16" ht="45" customHeight="1" spans="1:6">
      <c r="A16" s="171" t="s">
        <v>34</v>
      </c>
      <c r="B16" s="171" t="s">
        <v>35</v>
      </c>
      <c r="C16" s="174">
        <f>_xlfn.MAXIFS(交易历史!B:B,交易历史!A:A,A16)</f>
        <v>400</v>
      </c>
      <c r="D16" s="172" t="str">
        <f>INDEX(交易历史!C:C,MATCH(A16,交易历史!A:A,0))</f>
        <v>【SSR】Superior Super Rare</v>
      </c>
      <c r="E16" s="186" t="str">
        <f t="shared" si="1"/>
        <v>球员已拍定</v>
      </c>
      <c r="F16"/>
    </row>
    <row r="17" ht="45" customHeight="1" spans="1:6">
      <c r="A17" s="171" t="s">
        <v>36</v>
      </c>
      <c r="B17" s="171" t="s">
        <v>37</v>
      </c>
      <c r="C17" s="171">
        <f>_xlfn.MAXIFS(交易历史!B:B,交易历史!A:A,A17)</f>
        <v>600</v>
      </c>
      <c r="D17" s="172" t="str">
        <f>INDEX(交易历史!C:C,MATCH(A17,交易历史!A:A,0))</f>
        <v>【TV】Team Vitality</v>
      </c>
      <c r="E17" s="186" t="str">
        <f t="shared" si="1"/>
        <v>球员已拍定</v>
      </c>
      <c r="F17"/>
    </row>
    <row r="18" ht="45" customHeight="1" spans="1:6">
      <c r="A18" s="171" t="s">
        <v>38</v>
      </c>
      <c r="B18" s="171" t="s">
        <v>39</v>
      </c>
      <c r="C18" s="171">
        <f>_xlfn.MAXIFS(交易历史!B:B,交易历史!A:A,A18)</f>
        <v>100</v>
      </c>
      <c r="D18" s="172" t="str">
        <f>INDEX(交易历史!C:C,MATCH(A18,交易历史!A:A,0))</f>
        <v>【NikoFC】NikoCN Fanclub</v>
      </c>
      <c r="E18" s="186" t="str">
        <f t="shared" si="1"/>
        <v>球员已拍定</v>
      </c>
      <c r="F18"/>
    </row>
    <row r="19" ht="45" customHeight="1" spans="1:6">
      <c r="A19" s="171" t="s">
        <v>40</v>
      </c>
      <c r="B19" s="171" t="s">
        <v>41</v>
      </c>
      <c r="C19" s="171">
        <f>_xlfn.MAXIFS(交易历史!B:B,交易历史!A:A,A19)</f>
        <v>80</v>
      </c>
      <c r="D19" s="172" t="str">
        <f>INDEX(交易历史!C:C,MATCH(A19,交易历史!A:A,0))</f>
        <v>【Miniworld】迷你世界</v>
      </c>
      <c r="E19" s="186" t="str">
        <f>IF(AND(NOT(ISBLANK(C19)),NOT(ISBLANK(D19)),ISERROR(SEARCH("流拍待定",D19))),"球员已拍定",IF(ISNUMBER(SEARCH("流拍待定",D19)),"流拍待定",IF(AND(OR(ISBLANK(C19),ISBLANK(D19)),NOT(ISBLANK(#REF!)),NOT(ISBLANK(#REF!))),"正在竞拍","")))</f>
        <v>球员已拍定</v>
      </c>
      <c r="F19"/>
    </row>
    <row r="20" ht="45" customHeight="1" spans="1:6">
      <c r="A20" s="171" t="s">
        <v>42</v>
      </c>
      <c r="B20" s="171" t="s">
        <v>42</v>
      </c>
      <c r="C20" s="171">
        <f>_xlfn.MAXIFS(交易历史!B:B,交易历史!A:A,A20)</f>
        <v>10</v>
      </c>
      <c r="D20" s="172" t="str">
        <f>INDEX(交易历史!C:C,MATCH(A20,交易历史!A:A,0))</f>
        <v>【TV】Team Vitality</v>
      </c>
      <c r="E20" s="186" t="str">
        <f t="shared" ref="E20:E66" si="2">IF(AND(NOT(ISBLANK(C20)),NOT(ISBLANK(D20)),ISERROR(SEARCH("流拍待定",D20))),"球员已拍定",IF(ISNUMBER(SEARCH("流拍待定",D20)),"流拍待定",IF(AND(OR(ISBLANK(C20),ISBLANK(D20)),NOT(ISBLANK(C19)),NOT(ISBLANK(D19))),"正在竞拍","")))</f>
        <v>球员已拍定</v>
      </c>
      <c r="F20"/>
    </row>
    <row r="21" ht="45" customHeight="1" spans="1:6">
      <c r="A21" s="171" t="s">
        <v>43</v>
      </c>
      <c r="B21" s="171" t="s">
        <v>44</v>
      </c>
      <c r="C21" s="171">
        <f>_xlfn.MAXIFS(交易历史!B:B,交易历史!A:A,A21)</f>
        <v>0</v>
      </c>
      <c r="D21" s="172" t="str">
        <f>INDEX(交易历史!C:C,MATCH(A21,交易历史!A:A,0))</f>
        <v>【CbHz】吃饱喝足就是玩</v>
      </c>
      <c r="E21" s="186" t="str">
        <f t="shared" si="2"/>
        <v>球员已拍定</v>
      </c>
      <c r="F21"/>
    </row>
    <row r="22" ht="45" customHeight="1" spans="1:6">
      <c r="A22" s="171" t="s">
        <v>45</v>
      </c>
      <c r="B22" s="171" t="s">
        <v>45</v>
      </c>
      <c r="C22" s="171">
        <f>_xlfn.MAXIFS(交易历史!B:B,交易历史!A:A,A22)</f>
        <v>20</v>
      </c>
      <c r="D22" s="172" t="str">
        <f>INDEX(交易历史!C:C,MATCH(A22,交易历史!A:A,0))</f>
        <v>【TV】Team Vitality</v>
      </c>
      <c r="E22" s="186" t="str">
        <f t="shared" si="2"/>
        <v>球员已拍定</v>
      </c>
      <c r="F22"/>
    </row>
    <row r="23" ht="45" customHeight="1" spans="1:6">
      <c r="A23" s="171" t="s">
        <v>46</v>
      </c>
      <c r="B23" s="171" t="s">
        <v>47</v>
      </c>
      <c r="C23" s="171">
        <f>_xlfn.MAXIFS(交易历史!B:B,交易历史!A:A,A23)</f>
        <v>10</v>
      </c>
      <c r="D23" s="172" t="str">
        <f>INDEX(交易历史!C:C,MATCH(A23,交易历史!A:A,0))</f>
        <v>【SSR】Superior Super Rare</v>
      </c>
      <c r="E23" s="186" t="str">
        <f t="shared" si="2"/>
        <v>球员已拍定</v>
      </c>
      <c r="F23"/>
    </row>
    <row r="24" ht="45" customHeight="1" spans="1:6">
      <c r="A24" s="171" t="s">
        <v>48</v>
      </c>
      <c r="B24" s="171" t="s">
        <v>49</v>
      </c>
      <c r="C24" s="171">
        <f>_xlfn.MAXIFS(交易历史!B:B,交易历史!A:A,A24)</f>
        <v>660</v>
      </c>
      <c r="D24" s="172" t="str">
        <f>INDEX(交易历史!C:C,MATCH(A24,交易历史!A:A,0))</f>
        <v>【CbHz】吃饱喝足就是玩</v>
      </c>
      <c r="E24" s="186" t="str">
        <f t="shared" si="2"/>
        <v>球员已拍定</v>
      </c>
      <c r="F24"/>
    </row>
    <row r="25" ht="45" customHeight="1" spans="1:6">
      <c r="A25" s="171" t="s">
        <v>50</v>
      </c>
      <c r="B25" s="171" t="s">
        <v>51</v>
      </c>
      <c r="C25" s="171">
        <f>_xlfn.MAXIFS(交易历史!B:B,交易历史!A:A,A25)</f>
        <v>540</v>
      </c>
      <c r="D25" s="172" t="str">
        <f>INDEX(交易历史!C:C,MATCH(A25,交易历史!A:A,0))</f>
        <v>【NikoFC】NikoCN Fanclub</v>
      </c>
      <c r="E25" s="186" t="str">
        <f t="shared" si="2"/>
        <v>球员已拍定</v>
      </c>
      <c r="F25"/>
    </row>
    <row r="26" ht="45" customHeight="1" spans="1:6">
      <c r="A26" s="171" t="s">
        <v>52</v>
      </c>
      <c r="B26" s="171" t="s">
        <v>53</v>
      </c>
      <c r="C26" s="171">
        <f>_xlfn.MAXIFS(交易历史!B:B,交易历史!A:A,A26)</f>
        <v>1000</v>
      </c>
      <c r="D26" s="172" t="str">
        <f>INDEX(交易历史!C:C,MATCH(A26,交易历史!A:A,0))</f>
        <v>【G2】G2‭</v>
      </c>
      <c r="E26" s="186" t="str">
        <f t="shared" si="2"/>
        <v>球员已拍定</v>
      </c>
      <c r="F26"/>
    </row>
    <row r="27" ht="45" customHeight="1" spans="1:6">
      <c r="A27" s="171" t="s">
        <v>54</v>
      </c>
      <c r="B27" s="171" t="s">
        <v>54</v>
      </c>
      <c r="C27" s="171">
        <f>_xlfn.MAXIFS(交易历史!B:B,交易历史!A:A,A27)</f>
        <v>350</v>
      </c>
      <c r="D27" s="172" t="str">
        <f>INDEX(交易历史!C:C,MATCH(A27,交易历史!A:A,0))</f>
        <v>【Miniworld】迷你世界</v>
      </c>
      <c r="E27" s="186" t="str">
        <f t="shared" si="2"/>
        <v>球员已拍定</v>
      </c>
      <c r="F27"/>
    </row>
    <row r="28" ht="45" customHeight="1" spans="1:6">
      <c r="A28" s="171" t="s">
        <v>55</v>
      </c>
      <c r="B28" s="171" t="s">
        <v>56</v>
      </c>
      <c r="C28" s="171">
        <f>_xlfn.MAXIFS(交易历史!B:B,交易历史!A:A,A28)</f>
        <v>20</v>
      </c>
      <c r="D28" s="172" t="str">
        <f>INDEX(交易历史!C:C,MATCH(A28,交易历史!A:A,0))</f>
        <v>【Miniworld】迷你世界</v>
      </c>
      <c r="E28" s="186" t="str">
        <f t="shared" si="2"/>
        <v>球员已拍定</v>
      </c>
      <c r="F28"/>
    </row>
    <row r="29" ht="45" customHeight="1" spans="1:6">
      <c r="A29" s="171" t="s">
        <v>57</v>
      </c>
      <c r="B29" s="171" t="s">
        <v>58</v>
      </c>
      <c r="C29" s="171">
        <f>_xlfn.MAXIFS(交易历史!B:B,交易历史!A:A,A29)</f>
        <v>0</v>
      </c>
      <c r="D29" s="172" t="str">
        <f>INDEX(交易历史!C:C,MATCH(A29,交易历史!A:A,0))</f>
        <v>【CbHz】吃饱喝足就是玩</v>
      </c>
      <c r="E29" s="186" t="str">
        <f t="shared" si="2"/>
        <v>球员已拍定</v>
      </c>
      <c r="F29"/>
    </row>
    <row r="30" ht="45" customHeight="1" spans="1:6">
      <c r="A30" s="171" t="s">
        <v>59</v>
      </c>
      <c r="B30" s="171" t="s">
        <v>60</v>
      </c>
      <c r="C30" s="171">
        <f>_xlfn.MAXIFS(交易历史!B:B,交易历史!A:A,A30)</f>
        <v>200</v>
      </c>
      <c r="D30" s="172" t="str">
        <f>INDEX(交易历史!C:C,MATCH(A30,交易历史!A:A,0))</f>
        <v>【SSR】Superior Super Rare</v>
      </c>
      <c r="E30" s="186" t="str">
        <f t="shared" si="2"/>
        <v>球员已拍定</v>
      </c>
      <c r="F30"/>
    </row>
    <row r="31" ht="45" customHeight="1" spans="1:6">
      <c r="A31" s="171" t="s">
        <v>61</v>
      </c>
      <c r="B31" s="171" t="s">
        <v>62</v>
      </c>
      <c r="C31" s="171">
        <f>_xlfn.MAXIFS(交易历史!B:B,交易历史!A:A,A31)</f>
        <v>40</v>
      </c>
      <c r="D31" s="172" t="str">
        <f>INDEX(交易历史!C:C,MATCH(A31,交易历史!A:A,0))</f>
        <v>【Miniworld】迷你世界</v>
      </c>
      <c r="E31" s="186" t="str">
        <f t="shared" si="2"/>
        <v>球员已拍定</v>
      </c>
      <c r="F31"/>
    </row>
    <row r="32" ht="45" customHeight="1" spans="1:6">
      <c r="A32" s="171" t="s">
        <v>63</v>
      </c>
      <c r="B32" s="171" t="s">
        <v>64</v>
      </c>
      <c r="C32" s="171">
        <f>_xlfn.MAXIFS(交易历史!B:B,交易历史!A:A,A32)</f>
        <v>10</v>
      </c>
      <c r="D32" s="172" t="str">
        <f>INDEX(交易历史!C:C,MATCH(A32,交易历史!A:A,0))</f>
        <v>【SSR】Superior Super Rare</v>
      </c>
      <c r="E32" s="186" t="str">
        <f t="shared" si="2"/>
        <v>球员已拍定</v>
      </c>
      <c r="F32"/>
    </row>
    <row r="33" ht="45" customHeight="1" spans="1:6">
      <c r="A33" s="171" t="s">
        <v>65</v>
      </c>
      <c r="B33" s="171" t="s">
        <v>66</v>
      </c>
      <c r="C33" s="171">
        <f>_xlfn.MAXIFS(交易历史!B:B,交易历史!A:A,A33)</f>
        <v>20</v>
      </c>
      <c r="D33" s="172" t="str">
        <f>INDEX(交易历史!C:C,MATCH(A33,交易历史!A:A,0))</f>
        <v>【TV】Team Vitality</v>
      </c>
      <c r="E33" s="186" t="str">
        <f t="shared" si="2"/>
        <v>球员已拍定</v>
      </c>
      <c r="F33"/>
    </row>
    <row r="34" ht="45" customHeight="1" spans="1:6">
      <c r="A34" s="171" t="s">
        <v>67</v>
      </c>
      <c r="B34" s="171" t="s">
        <v>67</v>
      </c>
      <c r="C34" s="171">
        <f>_xlfn.MAXIFS(交易历史!B:B,交易历史!A:A,A34)</f>
        <v>50</v>
      </c>
      <c r="D34" s="172" t="str">
        <f>INDEX(交易历史!C:C,MATCH(A34,交易历史!A:A,0))</f>
        <v>【NikoFC】NikoCN Fanclub</v>
      </c>
      <c r="E34" s="186" t="str">
        <f t="shared" si="2"/>
        <v>球员已拍定</v>
      </c>
      <c r="F34"/>
    </row>
    <row r="35" ht="45" customHeight="1" spans="1:6">
      <c r="A35" s="171" t="s">
        <v>68</v>
      </c>
      <c r="B35" s="171" t="s">
        <v>69</v>
      </c>
      <c r="C35" s="171">
        <f>_xlfn.MAXIFS(交易历史!B:B,交易历史!A:A,A35)</f>
        <v>0</v>
      </c>
      <c r="D35" s="172" t="str">
        <f>INDEX(交易历史!C:C,MATCH(A35,交易历史!A:A,0))</f>
        <v>【CbHz】吃饱喝足就是玩</v>
      </c>
      <c r="E35" s="186" t="str">
        <f t="shared" si="2"/>
        <v>球员已拍定</v>
      </c>
      <c r="F35"/>
    </row>
    <row r="36" ht="45" customHeight="1" spans="1:6">
      <c r="A36" s="171" t="s">
        <v>70</v>
      </c>
      <c r="B36" s="171" t="s">
        <v>70</v>
      </c>
      <c r="C36" s="171">
        <f>_xlfn.MAXIFS(交易历史!B:B,交易历史!A:A,A36)</f>
        <v>0</v>
      </c>
      <c r="D36" s="172" t="str">
        <f>INDEX(交易历史!C:C,MATCH(A36,交易历史!A:A,0))</f>
        <v>【G2】G2‭</v>
      </c>
      <c r="E36" s="186" t="str">
        <f t="shared" si="2"/>
        <v>球员已拍定</v>
      </c>
      <c r="F36"/>
    </row>
    <row r="37" ht="45" customHeight="1" spans="1:6">
      <c r="A37" s="171" t="s">
        <v>71</v>
      </c>
      <c r="B37" s="171" t="s">
        <v>71</v>
      </c>
      <c r="C37" s="171">
        <f>_xlfn.MAXIFS(交易历史!B:B,交易历史!A:A,A37)</f>
        <v>60</v>
      </c>
      <c r="D37" s="172" t="str">
        <f>INDEX(交易历史!C:C,MATCH(A37,交易历史!A:A,0))</f>
        <v>【TV】Team Vitality</v>
      </c>
      <c r="E37" s="186" t="str">
        <f t="shared" si="2"/>
        <v>球员已拍定</v>
      </c>
      <c r="F37"/>
    </row>
    <row r="38" ht="45" customHeight="1" spans="1:6">
      <c r="A38" s="175" t="s">
        <v>72</v>
      </c>
      <c r="B38" s="171" t="s">
        <v>73</v>
      </c>
      <c r="C38" s="171">
        <f>_xlfn.MAXIFS(交易历史!B:B,交易历史!A:A,A38)</f>
        <v>20</v>
      </c>
      <c r="D38" s="172" t="str">
        <f>INDEX(交易历史!C:C,MATCH(A38,交易历史!A:A,0))</f>
        <v>【AWO】逃出生天</v>
      </c>
      <c r="E38" s="186" t="str">
        <f t="shared" si="2"/>
        <v>球员已拍定</v>
      </c>
      <c r="F38"/>
    </row>
    <row r="39" ht="45" customHeight="1" spans="1:6">
      <c r="A39" s="171" t="s">
        <v>74</v>
      </c>
      <c r="B39" s="171" t="s">
        <v>74</v>
      </c>
      <c r="C39" s="171">
        <f>_xlfn.MAXIFS(交易历史!B:B,交易历史!A:A,A39)</f>
        <v>20</v>
      </c>
      <c r="D39" s="172" t="str">
        <f>INDEX(交易历史!C:C,MATCH(A39,交易历史!A:A,0))</f>
        <v>【Miniworld】迷你世界</v>
      </c>
      <c r="E39" s="186" t="str">
        <f t="shared" si="2"/>
        <v>球员已拍定</v>
      </c>
      <c r="F39"/>
    </row>
    <row r="40" ht="45" customHeight="1" spans="1:6">
      <c r="A40" s="171" t="s">
        <v>75</v>
      </c>
      <c r="B40" s="171" t="s">
        <v>75</v>
      </c>
      <c r="C40" s="171">
        <f>_xlfn.MAXIFS(交易历史!B:B,交易历史!A:A,A40)</f>
        <v>350</v>
      </c>
      <c r="D40" s="172" t="str">
        <f>INDEX(交易历史!C:C,MATCH(A40,交易历史!A:A,0))</f>
        <v>【G2】G2‭</v>
      </c>
      <c r="E40" s="186" t="str">
        <f t="shared" si="2"/>
        <v>球员已拍定</v>
      </c>
      <c r="F40"/>
    </row>
    <row r="41" ht="45" customHeight="1" spans="1:6">
      <c r="A41" s="171" t="s">
        <v>76</v>
      </c>
      <c r="B41" s="171" t="s">
        <v>77</v>
      </c>
      <c r="C41" s="171">
        <f>_xlfn.MAXIFS(交易历史!B:B,交易历史!A:A,A41)</f>
        <v>360</v>
      </c>
      <c r="D41" s="172" t="str">
        <f>INDEX(交易历史!C:C,MATCH(A41,交易历史!A:A,0))</f>
        <v>【OldH】老H犟嘴</v>
      </c>
      <c r="E41" s="186" t="str">
        <f t="shared" si="2"/>
        <v>球员已拍定</v>
      </c>
      <c r="F41"/>
    </row>
    <row r="42" ht="45" customHeight="1" spans="1:6">
      <c r="A42" s="171" t="s">
        <v>78</v>
      </c>
      <c r="B42" s="171" t="s">
        <v>79</v>
      </c>
      <c r="C42" s="171">
        <f>_xlfn.MAXIFS(交易历史!B:B,交易历史!A:A,A42)</f>
        <v>800</v>
      </c>
      <c r="D42" s="172" t="str">
        <f>INDEX(交易历史!C:C,MATCH(A42,交易历史!A:A,0))</f>
        <v>【CbHz】吃饱喝足就是玩</v>
      </c>
      <c r="E42" s="186" t="str">
        <f t="shared" si="2"/>
        <v>球员已拍定</v>
      </c>
      <c r="F42"/>
    </row>
    <row r="43" ht="45" customHeight="1" spans="1:6">
      <c r="A43" s="171" t="s">
        <v>80</v>
      </c>
      <c r="B43" s="171" t="s">
        <v>81</v>
      </c>
      <c r="C43" s="171">
        <f>_xlfn.MAXIFS(交易历史!B:B,交易历史!A:A,A43)</f>
        <v>700</v>
      </c>
      <c r="D43" s="172" t="str">
        <f>INDEX(交易历史!C:C,MATCH(A43,交易历史!A:A,0))</f>
        <v>【SSR】Superior Super Rare</v>
      </c>
      <c r="E43" s="186" t="str">
        <f t="shared" si="2"/>
        <v>球员已拍定</v>
      </c>
      <c r="F43"/>
    </row>
    <row r="44" ht="45" customHeight="1" spans="1:6">
      <c r="A44" s="171" t="s">
        <v>82</v>
      </c>
      <c r="B44" s="171" t="s">
        <v>83</v>
      </c>
      <c r="C44" s="171">
        <f>_xlfn.MAXIFS(交易历史!B:B,交易历史!A:A,A44)</f>
        <v>100</v>
      </c>
      <c r="D44" s="172" t="str">
        <f>INDEX(交易历史!C:C,MATCH(A44,交易历史!A:A,0))</f>
        <v>【OldH】老H犟嘴</v>
      </c>
      <c r="E44" s="186" t="str">
        <f t="shared" si="2"/>
        <v>球员已拍定</v>
      </c>
      <c r="F44"/>
    </row>
    <row r="45" ht="45" customHeight="1" spans="1:6">
      <c r="A45" s="171" t="s">
        <v>84</v>
      </c>
      <c r="B45" s="171" t="s">
        <v>84</v>
      </c>
      <c r="C45" s="171">
        <f>_xlfn.MAXIFS(交易历史!B:B,交易历史!A:A,A45)</f>
        <v>60</v>
      </c>
      <c r="D45" s="172" t="str">
        <f>INDEX(交易历史!C:C,MATCH(A45,交易历史!A:A,0))</f>
        <v>【Miniworld】迷你世界</v>
      </c>
      <c r="E45" s="186" t="str">
        <f t="shared" si="2"/>
        <v>球员已拍定</v>
      </c>
      <c r="F45"/>
    </row>
    <row r="46" ht="45" customHeight="1" spans="1:6">
      <c r="A46" s="171" t="s">
        <v>85</v>
      </c>
      <c r="B46" s="171" t="s">
        <v>86</v>
      </c>
      <c r="C46" s="171">
        <f>_xlfn.MAXIFS(交易历史!B:B,交易历史!A:A,A46)</f>
        <v>30</v>
      </c>
      <c r="D46" s="172" t="str">
        <f>INDEX(交易历史!C:C,MATCH(A46,交易历史!A:A,0))</f>
        <v>【OldH】老H犟嘴</v>
      </c>
      <c r="E46" s="186" t="str">
        <f t="shared" si="2"/>
        <v>球员已拍定</v>
      </c>
      <c r="F46"/>
    </row>
    <row r="47" ht="45" customHeight="1" spans="1:6">
      <c r="A47" s="171" t="s">
        <v>87</v>
      </c>
      <c r="B47" s="171" t="s">
        <v>87</v>
      </c>
      <c r="C47" s="171">
        <f>_xlfn.MAXIFS(交易历史!B:B,交易历史!A:A,A47)</f>
        <v>30</v>
      </c>
      <c r="D47" s="172" t="str">
        <f>INDEX(交易历史!C:C,MATCH(A47,交易历史!A:A,0))</f>
        <v>【Miniworld】迷你世界</v>
      </c>
      <c r="E47" s="186" t="str">
        <f t="shared" si="2"/>
        <v>球员已拍定</v>
      </c>
      <c r="F47"/>
    </row>
    <row r="48" ht="45" customHeight="1" spans="1:6">
      <c r="A48" s="171" t="s">
        <v>88</v>
      </c>
      <c r="B48" s="171" t="s">
        <v>88</v>
      </c>
      <c r="C48" s="171">
        <f>_xlfn.MAXIFS(交易历史!B:B,交易历史!A:A,A48)</f>
        <v>30</v>
      </c>
      <c r="D48" s="172" t="str">
        <f>INDEX(交易历史!C:C,MATCH(A48,交易历史!A:A,0))</f>
        <v>【NikoFC】NikoCN Fanclub</v>
      </c>
      <c r="E48" s="186" t="str">
        <f t="shared" si="2"/>
        <v>球员已拍定</v>
      </c>
      <c r="F48"/>
    </row>
    <row r="49" ht="45" customHeight="1" spans="1:6">
      <c r="A49" s="171" t="s">
        <v>89</v>
      </c>
      <c r="B49" s="171" t="s">
        <v>90</v>
      </c>
      <c r="C49" s="171">
        <f>_xlfn.MAXIFS(交易历史!B:B,交易历史!A:A,A49)</f>
        <v>10</v>
      </c>
      <c r="D49" s="172" t="str">
        <f>INDEX(交易历史!C:C,MATCH(A49,交易历史!A:A,0))</f>
        <v>【CbHz】吃饱喝足就是玩</v>
      </c>
      <c r="E49" s="186" t="str">
        <f t="shared" si="2"/>
        <v>球员已拍定</v>
      </c>
      <c r="F49"/>
    </row>
    <row r="50" ht="45" customHeight="1" spans="1:6">
      <c r="A50" s="171" t="s">
        <v>91</v>
      </c>
      <c r="B50" s="171" t="s">
        <v>92</v>
      </c>
      <c r="C50" s="171">
        <f>_xlfn.MAXIFS(交易历史!B:B,交易历史!A:A,A50)</f>
        <v>510</v>
      </c>
      <c r="D50" s="172" t="str">
        <f>INDEX(交易历史!C:C,MATCH(A50,交易历史!A:A,0))</f>
        <v>【NikoFC】NikoCN Fanclub</v>
      </c>
      <c r="E50" s="186" t="str">
        <f t="shared" si="2"/>
        <v>球员已拍定</v>
      </c>
      <c r="F50"/>
    </row>
    <row r="51" ht="45" customHeight="1" spans="1:6">
      <c r="A51" s="171" t="s">
        <v>93</v>
      </c>
      <c r="B51" s="171" t="s">
        <v>94</v>
      </c>
      <c r="C51" s="171">
        <f>_xlfn.MAXIFS(交易历史!B:B,交易历史!A:A,A51)</f>
        <v>500</v>
      </c>
      <c r="D51" s="172" t="str">
        <f>INDEX(交易历史!C:C,MATCH(A51,交易历史!A:A,0))</f>
        <v>【CbHz】吃饱喝足就是玩</v>
      </c>
      <c r="E51" s="186" t="str">
        <f t="shared" si="2"/>
        <v>球员已拍定</v>
      </c>
      <c r="F51"/>
    </row>
    <row r="52" ht="45" customHeight="1" spans="1:6">
      <c r="A52" s="171" t="s">
        <v>95</v>
      </c>
      <c r="B52" s="171" t="s">
        <v>96</v>
      </c>
      <c r="C52" s="171">
        <f>_xlfn.MAXIFS(交易历史!B:B,交易历史!A:A,A52)</f>
        <v>0</v>
      </c>
      <c r="D52" s="172" t="str">
        <f>INDEX(交易历史!C:C,MATCH(A52,交易历史!A:A,0))</f>
        <v>【CbHz】吃饱喝足就是玩</v>
      </c>
      <c r="E52" s="186" t="str">
        <f t="shared" si="2"/>
        <v>球员已拍定</v>
      </c>
      <c r="F52"/>
    </row>
    <row r="53" ht="45" customHeight="1" spans="1:6">
      <c r="A53" s="171" t="s">
        <v>97</v>
      </c>
      <c r="B53" s="171" t="s">
        <v>97</v>
      </c>
      <c r="C53" s="171">
        <f>_xlfn.MAXIFS(交易历史!B:B,交易历史!A:A,A53)</f>
        <v>760</v>
      </c>
      <c r="D53" s="172" t="str">
        <f>INDEX(交易历史!C:C,MATCH(A53,交易历史!A:A,0))</f>
        <v>【NikoFC】NikoCN Fanclub</v>
      </c>
      <c r="E53" s="186" t="str">
        <f t="shared" si="2"/>
        <v>球员已拍定</v>
      </c>
      <c r="F53"/>
    </row>
    <row r="54" ht="45" customHeight="1" spans="1:6">
      <c r="A54" s="171" t="s">
        <v>98</v>
      </c>
      <c r="B54" s="171" t="s">
        <v>98</v>
      </c>
      <c r="C54" s="171">
        <f>_xlfn.MAXIFS(交易历史!B:B,交易历史!A:A,A54)</f>
        <v>300</v>
      </c>
      <c r="D54" s="172" t="str">
        <f>INDEX(交易历史!C:C,MATCH(A54,交易历史!A:A,0))</f>
        <v>【Miniworld】迷你世界</v>
      </c>
      <c r="E54" s="186" t="str">
        <f t="shared" si="2"/>
        <v>球员已拍定</v>
      </c>
      <c r="F54"/>
    </row>
    <row r="55" ht="45" customHeight="1" spans="1:6">
      <c r="A55" s="171" t="s">
        <v>99</v>
      </c>
      <c r="B55" s="171" t="s">
        <v>100</v>
      </c>
      <c r="C55" s="171">
        <f>_xlfn.MAXIFS(交易历史!B:B,交易历史!A:A,A55)</f>
        <v>500</v>
      </c>
      <c r="D55" s="172" t="str">
        <f>INDEX(交易历史!C:C,MATCH(A55,交易历史!A:A,0))</f>
        <v>【OldH】老H犟嘴</v>
      </c>
      <c r="E55" s="186" t="str">
        <f t="shared" si="2"/>
        <v>球员已拍定</v>
      </c>
      <c r="F55"/>
    </row>
    <row r="56" ht="45" customHeight="1" spans="1:6">
      <c r="A56" s="171" t="s">
        <v>101</v>
      </c>
      <c r="B56" s="171" t="s">
        <v>101</v>
      </c>
      <c r="C56" s="171">
        <f>_xlfn.MAXIFS(交易历史!B:B,交易历史!A:A,A56)</f>
        <v>130</v>
      </c>
      <c r="D56" s="172" t="str">
        <f>INDEX(交易历史!C:C,MATCH(A56,交易历史!A:A,0))</f>
        <v>【AWO】逃出生天</v>
      </c>
      <c r="E56" s="186" t="str">
        <f t="shared" si="2"/>
        <v>球员已拍定</v>
      </c>
      <c r="F56"/>
    </row>
    <row r="57" ht="45" customHeight="1" spans="1:6">
      <c r="A57" s="171" t="s">
        <v>102</v>
      </c>
      <c r="B57" s="171" t="s">
        <v>103</v>
      </c>
      <c r="C57" s="171">
        <f>_xlfn.MAXIFS(交易历史!B:B,交易历史!A:A,A57)</f>
        <v>250</v>
      </c>
      <c r="D57" s="172" t="str">
        <f>INDEX(交易历史!C:C,MATCH(A57,交易历史!A:A,0))</f>
        <v>【CbHz】吃饱喝足就是玩</v>
      </c>
      <c r="E57" s="186" t="str">
        <f t="shared" si="2"/>
        <v>球员已拍定</v>
      </c>
      <c r="F57"/>
    </row>
    <row r="58" ht="45" customHeight="1" spans="1:6">
      <c r="A58" s="171" t="s">
        <v>104</v>
      </c>
      <c r="B58" s="171" t="s">
        <v>104</v>
      </c>
      <c r="C58" s="171">
        <f>_xlfn.MAXIFS(交易历史!B:B,交易历史!A:A,A58)</f>
        <v>100</v>
      </c>
      <c r="D58" s="172" t="str">
        <f>INDEX(交易历史!C:C,MATCH(A58,交易历史!A:A,0))</f>
        <v>【OldH】老H犟嘴</v>
      </c>
      <c r="E58" s="186" t="str">
        <f t="shared" si="2"/>
        <v>球员已拍定</v>
      </c>
      <c r="F58"/>
    </row>
    <row r="59" ht="45" customHeight="1" spans="1:6">
      <c r="A59" s="171" t="s">
        <v>105</v>
      </c>
      <c r="B59" s="171" t="s">
        <v>106</v>
      </c>
      <c r="C59" s="171">
        <f>_xlfn.MAXIFS(交易历史!B:B,交易历史!A:A,A59)</f>
        <v>40</v>
      </c>
      <c r="D59" s="172" t="str">
        <f>INDEX(交易历史!C:C,MATCH(A59,交易历史!A:A,0))</f>
        <v>【SSR】Superior Super Rare</v>
      </c>
      <c r="E59" s="186" t="str">
        <f t="shared" si="2"/>
        <v>球员已拍定</v>
      </c>
      <c r="F59"/>
    </row>
    <row r="60" ht="45" customHeight="1" spans="1:6">
      <c r="A60" s="171" t="s">
        <v>107</v>
      </c>
      <c r="B60" s="171" t="s">
        <v>107</v>
      </c>
      <c r="C60" s="171">
        <f>_xlfn.MAXIFS(交易历史!B:B,交易历史!A:A,A60)</f>
        <v>10</v>
      </c>
      <c r="D60" s="172" t="str">
        <f>INDEX(交易历史!C:C,MATCH(A60,交易历史!A:A,0))</f>
        <v>【NikoFC】NikoCN Fanclub</v>
      </c>
      <c r="E60" s="186" t="str">
        <f t="shared" si="2"/>
        <v>球员已拍定</v>
      </c>
      <c r="F60"/>
    </row>
    <row r="61" ht="45" customHeight="1" spans="1:6">
      <c r="A61" s="171" t="s">
        <v>108</v>
      </c>
      <c r="B61" s="171" t="s">
        <v>109</v>
      </c>
      <c r="C61" s="171">
        <f>_xlfn.MAXIFS(交易历史!B:B,交易历史!A:A,A61)</f>
        <v>700</v>
      </c>
      <c r="D61" s="172" t="str">
        <f>INDEX(交易历史!C:C,MATCH(A61,交易历史!A:A,0))</f>
        <v>【SSR】Superior Super Rare</v>
      </c>
      <c r="E61" s="186" t="str">
        <f t="shared" si="2"/>
        <v>球员已拍定</v>
      </c>
      <c r="F61"/>
    </row>
    <row r="62" ht="45" customHeight="1" spans="1:6">
      <c r="A62" s="171" t="s">
        <v>110</v>
      </c>
      <c r="B62" s="171" t="s">
        <v>110</v>
      </c>
      <c r="C62" s="171">
        <f>_xlfn.MAXIFS(交易历史!B:B,交易历史!A:A,A62)</f>
        <v>850</v>
      </c>
      <c r="D62" s="172" t="str">
        <f>INDEX(交易历史!C:C,MATCH(A62,交易历史!A:A,0))</f>
        <v>【Miniworld】迷你世界</v>
      </c>
      <c r="E62" s="186" t="str">
        <f t="shared" si="2"/>
        <v>球员已拍定</v>
      </c>
      <c r="F62"/>
    </row>
    <row r="63" ht="45" customHeight="1" spans="1:6">
      <c r="A63" s="171" t="s">
        <v>111</v>
      </c>
      <c r="B63" s="171" t="s">
        <v>112</v>
      </c>
      <c r="C63" s="171">
        <f>_xlfn.MAXIFS(交易历史!B:B,交易历史!A:A,A63)</f>
        <v>80</v>
      </c>
      <c r="D63" s="172" t="str">
        <f>INDEX(交易历史!C:C,MATCH(A63,交易历史!A:A,0))</f>
        <v>【AWO】逃出生天</v>
      </c>
      <c r="E63" s="186" t="str">
        <f t="shared" si="2"/>
        <v>球员已拍定</v>
      </c>
      <c r="F63"/>
    </row>
    <row r="64" ht="45" customHeight="1" spans="1:6">
      <c r="A64" s="171" t="s">
        <v>113</v>
      </c>
      <c r="B64" s="171" t="s">
        <v>114</v>
      </c>
      <c r="C64" s="171">
        <f>_xlfn.MAXIFS(交易历史!B:B,交易历史!A:A,A64)</f>
        <v>0</v>
      </c>
      <c r="D64" s="172" t="str">
        <f>INDEX(交易历史!C:C,MATCH(A64,交易历史!A:A,0))</f>
        <v>【CbHz】吃饱喝足就是玩</v>
      </c>
      <c r="E64" s="186" t="str">
        <f t="shared" si="2"/>
        <v>球员已拍定</v>
      </c>
      <c r="F64"/>
    </row>
    <row r="65" ht="45" customHeight="1" spans="1:6">
      <c r="A65" s="171" t="s">
        <v>115</v>
      </c>
      <c r="B65" s="171" t="s">
        <v>115</v>
      </c>
      <c r="C65" s="171">
        <f>_xlfn.MAXIFS(交易历史!B:B,交易历史!A:A,A65)</f>
        <v>160</v>
      </c>
      <c r="D65" s="172" t="str">
        <f>INDEX(交易历史!C:C,MATCH(A65,交易历史!A:A,0))</f>
        <v>【OldH】老H犟嘴</v>
      </c>
      <c r="E65" s="186" t="str">
        <f t="shared" si="2"/>
        <v>球员已拍定</v>
      </c>
      <c r="F65"/>
    </row>
    <row r="66" ht="45" customHeight="1" spans="1:6">
      <c r="A66" s="171" t="s">
        <v>116</v>
      </c>
      <c r="B66" s="171" t="s">
        <v>117</v>
      </c>
      <c r="C66" s="171">
        <f>_xlfn.MAXIFS(交易历史!B:B,交易历史!A:A,A66)</f>
        <v>410</v>
      </c>
      <c r="D66" s="172" t="str">
        <f>INDEX(交易历史!C:C,MATCH(A66,交易历史!A:A,0))</f>
        <v>【SSR】Superior Super Rare</v>
      </c>
      <c r="E66" s="186" t="str">
        <f t="shared" si="2"/>
        <v>球员已拍定</v>
      </c>
      <c r="F66"/>
    </row>
    <row r="67" ht="45" customHeight="1" spans="1:6">
      <c r="A67" s="171" t="s">
        <v>118</v>
      </c>
      <c r="B67" s="171" t="s">
        <v>119</v>
      </c>
      <c r="C67" s="171">
        <f>_xlfn.MAXIFS(交易历史!B:B,交易历史!A:A,A67)</f>
        <v>190</v>
      </c>
      <c r="D67" s="172" t="str">
        <f>INDEX(交易历史!C:C,MATCH(A67,交易历史!A:A,0))</f>
        <v>【G2】G2‭</v>
      </c>
      <c r="E67" s="186" t="str">
        <f>IF(AND(NOT(ISBLANK(C67)),NOT(ISBLANK(D67)),ISERROR(SEARCH("流拍待定",D67))),"球员已拍定",IF(ISNUMBER(SEARCH("流拍待定",D67)),"流拍待定",IF(AND(OR(ISBLANK(C67),ISBLANK(D67)),NOT(ISBLANK(#REF!)),NOT(ISBLANK(#REF!))),"正在竞拍","")))</f>
        <v>球员已拍定</v>
      </c>
      <c r="F67"/>
    </row>
    <row r="68" ht="45" customHeight="1" spans="1:6">
      <c r="A68" s="171" t="s">
        <v>120</v>
      </c>
      <c r="B68" s="171" t="s">
        <v>121</v>
      </c>
      <c r="C68" s="171">
        <f>_xlfn.MAXIFS(交易历史!B:B,交易历史!A:A,A68)</f>
        <v>190</v>
      </c>
      <c r="D68" s="172" t="str">
        <f>INDEX(交易历史!C:C,MATCH(A68,交易历史!A:A,0))</f>
        <v>【AWO】逃出生天</v>
      </c>
      <c r="E68" s="186" t="str">
        <f t="shared" ref="E68:E93" si="3">IF(AND(NOT(ISBLANK(C68)),NOT(ISBLANK(D68)),ISERROR(SEARCH("流拍待定",D68))),"球员已拍定",IF(ISNUMBER(SEARCH("流拍待定",D68)),"流拍待定",IF(AND(OR(ISBLANK(C68),ISBLANK(D68)),NOT(ISBLANK(C67)),NOT(ISBLANK(D67))),"正在竞拍","")))</f>
        <v>球员已拍定</v>
      </c>
      <c r="F68"/>
    </row>
    <row r="69" ht="45" customHeight="1" spans="1:6">
      <c r="A69" s="171" t="s">
        <v>122</v>
      </c>
      <c r="B69" s="171" t="s">
        <v>123</v>
      </c>
      <c r="C69" s="171">
        <f>_xlfn.MAXIFS(交易历史!B:B,交易历史!A:A,A69)</f>
        <v>350</v>
      </c>
      <c r="D69" s="172" t="str">
        <f>INDEX(交易历史!C:C,MATCH(A69,交易历史!A:A,0))</f>
        <v>【Miniworld】迷你世界</v>
      </c>
      <c r="E69" s="186" t="str">
        <f t="shared" si="3"/>
        <v>球员已拍定</v>
      </c>
      <c r="F69"/>
    </row>
    <row r="70" ht="45" customHeight="1" spans="1:6">
      <c r="A70" s="171" t="s">
        <v>124</v>
      </c>
      <c r="B70" s="171" t="s">
        <v>125</v>
      </c>
      <c r="C70" s="171">
        <f>_xlfn.MAXIFS(交易历史!B:B,交易历史!A:A,A70)</f>
        <v>1000</v>
      </c>
      <c r="D70" s="172" t="str">
        <f>INDEX(交易历史!C:C,MATCH(A70,交易历史!A:A,0))</f>
        <v>【TV】Team Vitality</v>
      </c>
      <c r="E70" s="186" t="str">
        <f t="shared" si="3"/>
        <v>球员已拍定</v>
      </c>
      <c r="F70"/>
    </row>
    <row r="71" ht="45" customHeight="1" spans="1:6">
      <c r="A71" s="171" t="s">
        <v>126</v>
      </c>
      <c r="B71" s="171" t="s">
        <v>126</v>
      </c>
      <c r="C71" s="171">
        <f>_xlfn.MAXIFS(交易历史!B:B,交易历史!A:A,A71)</f>
        <v>850</v>
      </c>
      <c r="D71" s="172" t="str">
        <f>INDEX(交易历史!C:C,MATCH(A71,交易历史!A:A,0))</f>
        <v>【AWO】逃出生天</v>
      </c>
      <c r="E71" s="186" t="str">
        <f t="shared" si="3"/>
        <v>球员已拍定</v>
      </c>
      <c r="F71"/>
    </row>
    <row r="72" ht="45" customHeight="1" spans="1:6">
      <c r="A72" s="171" t="s">
        <v>127</v>
      </c>
      <c r="B72" s="171" t="s">
        <v>128</v>
      </c>
      <c r="C72" s="171">
        <f>_xlfn.MAXIFS(交易历史!B:B,交易历史!A:A,A72)</f>
        <v>10</v>
      </c>
      <c r="D72" s="172" t="str">
        <f>INDEX(交易历史!C:C,MATCH(A72,交易历史!A:A,0))</f>
        <v>【TV】Team Vitality</v>
      </c>
      <c r="E72" s="186" t="str">
        <f t="shared" si="3"/>
        <v>球员已拍定</v>
      </c>
      <c r="F72"/>
    </row>
    <row r="73" ht="45" customHeight="1" spans="1:6">
      <c r="A73" s="171" t="s">
        <v>129</v>
      </c>
      <c r="B73" s="171" t="s">
        <v>130</v>
      </c>
      <c r="C73" s="171">
        <f>_xlfn.MAXIFS(交易历史!B:B,交易历史!A:A,A73)</f>
        <v>20</v>
      </c>
      <c r="D73" s="172" t="str">
        <f>INDEX(交易历史!C:C,MATCH(A73,交易历史!A:A,0))</f>
        <v>【TV】Team Vitality</v>
      </c>
      <c r="E73" s="186" t="str">
        <f t="shared" si="3"/>
        <v>球员已拍定</v>
      </c>
      <c r="F73"/>
    </row>
    <row r="74" ht="45" customHeight="1" spans="1:6">
      <c r="A74" s="171" t="s">
        <v>131</v>
      </c>
      <c r="B74" s="171" t="s">
        <v>132</v>
      </c>
      <c r="C74" s="171">
        <f>_xlfn.MAXIFS(交易历史!B:B,交易历史!A:A,A74)</f>
        <v>400</v>
      </c>
      <c r="D74" s="172" t="str">
        <f>INDEX(交易历史!C:C,MATCH(A74,交易历史!A:A,0))</f>
        <v>【G2】G2‭</v>
      </c>
      <c r="E74" s="186" t="str">
        <f t="shared" si="3"/>
        <v>球员已拍定</v>
      </c>
      <c r="F74"/>
    </row>
    <row r="75" ht="45" customHeight="1" spans="1:6">
      <c r="A75" s="171" t="s">
        <v>133</v>
      </c>
      <c r="B75" s="171" t="s">
        <v>134</v>
      </c>
      <c r="C75" s="171">
        <f>_xlfn.MAXIFS(交易历史!B:B,交易历史!A:A,A75)</f>
        <v>90</v>
      </c>
      <c r="D75" s="172" t="str">
        <f>INDEX(交易历史!C:C,MATCH(A75,交易历史!A:A,0))</f>
        <v>【AWO】逃出生天</v>
      </c>
      <c r="E75" s="186" t="str">
        <f t="shared" si="3"/>
        <v>球员已拍定</v>
      </c>
      <c r="F75"/>
    </row>
    <row r="76" ht="45" customHeight="1" spans="1:6">
      <c r="A76" s="171" t="s">
        <v>135</v>
      </c>
      <c r="B76" s="171" t="s">
        <v>135</v>
      </c>
      <c r="C76" s="171">
        <f>_xlfn.MAXIFS(交易历史!B:B,交易历史!A:A,A76)</f>
        <v>90</v>
      </c>
      <c r="D76" s="172" t="str">
        <f>INDEX(交易历史!C:C,MATCH(A76,交易历史!A:A,0))</f>
        <v>【OldH】老H犟嘴</v>
      </c>
      <c r="E76" s="186" t="str">
        <f t="shared" si="3"/>
        <v>球员已拍定</v>
      </c>
      <c r="F76"/>
    </row>
    <row r="77" ht="45" customHeight="1" spans="1:6">
      <c r="A77" s="171" t="s">
        <v>136</v>
      </c>
      <c r="B77" s="171" t="s">
        <v>136</v>
      </c>
      <c r="C77" s="171">
        <f>_xlfn.MAXIFS(交易历史!B:B,交易历史!A:A,A77)</f>
        <v>380</v>
      </c>
      <c r="D77" s="172" t="str">
        <f>INDEX(交易历史!C:C,MATCH(A77,交易历史!A:A,0))</f>
        <v>【OldH】老H犟嘴</v>
      </c>
      <c r="E77" s="186" t="str">
        <f t="shared" si="3"/>
        <v>球员已拍定</v>
      </c>
      <c r="F77"/>
    </row>
    <row r="78" ht="45" customHeight="1" spans="1:6">
      <c r="A78" s="171" t="s">
        <v>137</v>
      </c>
      <c r="B78" s="171" t="s">
        <v>137</v>
      </c>
      <c r="C78" s="171">
        <f>_xlfn.MAXIFS(交易历史!B:B,交易历史!A:A,A78)</f>
        <v>120</v>
      </c>
      <c r="D78" s="172" t="str">
        <f>INDEX(交易历史!C:C,MATCH(A78,交易历史!A:A,0))</f>
        <v>【TV】Team Vitality</v>
      </c>
      <c r="E78" s="186" t="str">
        <f t="shared" si="3"/>
        <v>球员已拍定</v>
      </c>
      <c r="F78"/>
    </row>
    <row r="79" ht="45" customHeight="1" spans="1:6">
      <c r="A79" s="171" t="s">
        <v>138</v>
      </c>
      <c r="B79" s="171" t="s">
        <v>138</v>
      </c>
      <c r="C79" s="171">
        <f>_xlfn.MAXIFS(交易历史!B:B,交易历史!A:A,A79)</f>
        <v>140</v>
      </c>
      <c r="D79" s="172" t="str">
        <f>INDEX(交易历史!C:C,MATCH(A79,交易历史!A:A,0))</f>
        <v>【G2】G2‭</v>
      </c>
      <c r="E79" s="186" t="str">
        <f t="shared" si="3"/>
        <v>球员已拍定</v>
      </c>
      <c r="F79"/>
    </row>
    <row r="80" ht="45" customHeight="1" spans="1:6">
      <c r="A80" s="171" t="s">
        <v>139</v>
      </c>
      <c r="B80" s="171" t="s">
        <v>140</v>
      </c>
      <c r="C80" s="171">
        <f>_xlfn.MAXIFS(交易历史!B:B,交易历史!A:A,A80)</f>
        <v>10</v>
      </c>
      <c r="D80" s="172" t="str">
        <f>INDEX(交易历史!C:C,MATCH(A80,交易历史!A:A,0))</f>
        <v>【CbHz】吃饱喝足就是玩</v>
      </c>
      <c r="E80" s="186" t="str">
        <f t="shared" si="3"/>
        <v>球员已拍定</v>
      </c>
      <c r="F80"/>
    </row>
    <row r="81" ht="45" customHeight="1" spans="1:6">
      <c r="A81" s="171" t="s">
        <v>141</v>
      </c>
      <c r="B81" s="171" t="s">
        <v>142</v>
      </c>
      <c r="C81" s="171">
        <f>_xlfn.MAXIFS(交易历史!B:B,交易历史!A:A,A81)</f>
        <v>120</v>
      </c>
      <c r="D81" s="172" t="str">
        <f>INDEX(交易历史!C:C,MATCH(A81,交易历史!A:A,0))</f>
        <v>【TV】Team Vitality</v>
      </c>
      <c r="E81" s="186" t="str">
        <f t="shared" si="3"/>
        <v>球员已拍定</v>
      </c>
      <c r="F81"/>
    </row>
    <row r="82" ht="45" customHeight="1" spans="1:6">
      <c r="A82" s="171" t="s">
        <v>143</v>
      </c>
      <c r="B82" s="171" t="s">
        <v>144</v>
      </c>
      <c r="C82" s="171">
        <f>_xlfn.MAXIFS(交易历史!B:B,交易历史!A:A,A82)</f>
        <v>150</v>
      </c>
      <c r="D82" s="172" t="str">
        <f>INDEX(交易历史!C:C,MATCH(A82,交易历史!A:A,0))</f>
        <v>【OldH】老H犟嘴</v>
      </c>
      <c r="E82" s="186" t="str">
        <f t="shared" si="3"/>
        <v>球员已拍定</v>
      </c>
      <c r="F82"/>
    </row>
    <row r="83" ht="45" customHeight="1" spans="1:6">
      <c r="A83" s="171" t="s">
        <v>145</v>
      </c>
      <c r="B83" s="171" t="s">
        <v>146</v>
      </c>
      <c r="C83" s="171">
        <f>_xlfn.MAXIFS(交易历史!B:B,交易历史!A:A,A83)</f>
        <v>100</v>
      </c>
      <c r="D83" s="172" t="str">
        <f>INDEX(交易历史!C:C,MATCH(A83,交易历史!A:A,0))</f>
        <v>【OldH】老H犟嘴</v>
      </c>
      <c r="E83" s="186" t="str">
        <f t="shared" si="3"/>
        <v>球员已拍定</v>
      </c>
      <c r="F83"/>
    </row>
    <row r="84" ht="45" customHeight="1" spans="1:6">
      <c r="A84" s="171" t="s">
        <v>147</v>
      </c>
      <c r="B84" s="171" t="s">
        <v>148</v>
      </c>
      <c r="C84" s="172">
        <f>_xlfn.MAXIFS(交易历史!B:B,交易历史!A:A,A84)</f>
        <v>210</v>
      </c>
      <c r="D84" s="172" t="str">
        <f>INDEX(交易历史!C:C,MATCH(A84,交易历史!A:A,0))</f>
        <v>【AWO】逃出生天</v>
      </c>
      <c r="E84" s="186" t="str">
        <f t="shared" si="3"/>
        <v>球员已拍定</v>
      </c>
      <c r="F84"/>
    </row>
    <row r="85" ht="45" customHeight="1" spans="1:6">
      <c r="A85" s="171" t="s">
        <v>149</v>
      </c>
      <c r="B85" s="171" t="s">
        <v>149</v>
      </c>
      <c r="C85" s="172">
        <f>_xlfn.MAXIFS(交易历史!B:B,交易历史!A:A,A85)</f>
        <v>0</v>
      </c>
      <c r="D85" s="172" t="str">
        <f>INDEX(交易历史!C:C,MATCH(A85,交易历史!A:A,0))</f>
        <v>【AWO】逃出生天</v>
      </c>
      <c r="E85" s="186" t="str">
        <f t="shared" si="3"/>
        <v>球员已拍定</v>
      </c>
      <c r="F85"/>
    </row>
    <row r="86" ht="45" customHeight="1" spans="1:6">
      <c r="A86" s="171" t="s">
        <v>150</v>
      </c>
      <c r="B86" s="171" t="s">
        <v>151</v>
      </c>
      <c r="C86" s="172">
        <f>_xlfn.MAXIFS(交易历史!B:B,交易历史!A:A,A86)</f>
        <v>0</v>
      </c>
      <c r="D86" s="172" t="str">
        <f>INDEX(交易历史!C:C,MATCH(A86,交易历史!A:A,0))</f>
        <v>【G2】G2‭</v>
      </c>
      <c r="E86" s="186" t="str">
        <f t="shared" si="3"/>
        <v>球员已拍定</v>
      </c>
      <c r="F86"/>
    </row>
    <row r="87" ht="45" customHeight="1" spans="1:6">
      <c r="A87" s="171" t="s">
        <v>152</v>
      </c>
      <c r="B87" s="171" t="s">
        <v>152</v>
      </c>
      <c r="C87" s="172">
        <f>_xlfn.MAXIFS(交易历史!B:B,交易历史!A:A,A87)</f>
        <v>130</v>
      </c>
      <c r="D87" s="172" t="str">
        <f>INDEX(交易历史!C:C,MATCH(A87,交易历史!A:A,0))</f>
        <v>【TV】Team Vitality</v>
      </c>
      <c r="E87" s="186" t="str">
        <f t="shared" si="3"/>
        <v>球员已拍定</v>
      </c>
      <c r="F87"/>
    </row>
    <row r="88" ht="45" customHeight="1" spans="1:6">
      <c r="A88" s="171" t="s">
        <v>153</v>
      </c>
      <c r="B88" s="171" t="s">
        <v>154</v>
      </c>
      <c r="C88" s="172">
        <f>_xlfn.MAXIFS(交易历史!B:B,交易历史!A:A,A88)</f>
        <v>10</v>
      </c>
      <c r="D88" s="172" t="str">
        <f>INDEX(交易历史!C:C,MATCH(A88,交易历史!A:A,0))</f>
        <v>【NikoFC】NikoCN Fanclub</v>
      </c>
      <c r="E88" s="186" t="str">
        <f t="shared" si="3"/>
        <v>球员已拍定</v>
      </c>
      <c r="F88"/>
    </row>
    <row r="89" ht="45" customHeight="1" spans="1:6">
      <c r="A89" s="171" t="s">
        <v>155</v>
      </c>
      <c r="B89" s="171" t="s">
        <v>156</v>
      </c>
      <c r="C89" s="172">
        <f>_xlfn.MAXIFS(交易历史!B:B,交易历史!A:A,A89)</f>
        <v>10</v>
      </c>
      <c r="D89" s="172" t="str">
        <f>INDEX(交易历史!C:C,MATCH(A89,交易历史!A:A,0))</f>
        <v>【G2】G2‭</v>
      </c>
      <c r="E89" s="186" t="str">
        <f t="shared" si="3"/>
        <v>球员已拍定</v>
      </c>
      <c r="F89"/>
    </row>
    <row r="90" ht="45" customHeight="1" spans="1:6">
      <c r="A90" s="171" t="s">
        <v>157</v>
      </c>
      <c r="B90" s="171" t="s">
        <v>157</v>
      </c>
      <c r="C90" s="172">
        <f>_xlfn.MAXIFS(交易历史!B:B,交易历史!A:A,A90)</f>
        <v>10</v>
      </c>
      <c r="D90" s="172" t="str">
        <f>INDEX(交易历史!C:C,MATCH(A90,交易历史!A:A,0))</f>
        <v>【NikoFC】NikoCN Fanclub</v>
      </c>
      <c r="E90" s="186" t="str">
        <f t="shared" si="3"/>
        <v>球员已拍定</v>
      </c>
      <c r="F90"/>
    </row>
    <row r="91" ht="45" customHeight="1" spans="1:6">
      <c r="A91" s="171" t="s">
        <v>158</v>
      </c>
      <c r="B91" s="171" t="s">
        <v>158</v>
      </c>
      <c r="C91" s="172">
        <f>_xlfn.MAXIFS(交易历史!B:B,交易历史!A:A,A91)</f>
        <v>0</v>
      </c>
      <c r="D91" s="172" t="str">
        <f>INDEX(交易历史!C:C,MATCH(A91,交易历史!A:A,0))</f>
        <v>【G2】G2‭</v>
      </c>
      <c r="E91" s="186" t="str">
        <f t="shared" si="3"/>
        <v>球员已拍定</v>
      </c>
      <c r="F91"/>
    </row>
    <row r="92" ht="45" customHeight="1" spans="1:6">
      <c r="A92" s="171" t="s">
        <v>159</v>
      </c>
      <c r="B92" s="171" t="s">
        <v>160</v>
      </c>
      <c r="C92" s="172">
        <f>_xlfn.MAXIFS(交易历史!B:B,交易历史!A:A,A92)</f>
        <v>20</v>
      </c>
      <c r="D92" s="172" t="str">
        <f>INDEX(交易历史!C:C,MATCH(A92,交易历史!A:A,0))</f>
        <v>【G2】G2‭</v>
      </c>
      <c r="E92" s="186" t="str">
        <f t="shared" si="3"/>
        <v>球员已拍定</v>
      </c>
      <c r="F92"/>
    </row>
    <row r="93" ht="45" customHeight="1" spans="1:6">
      <c r="A93" s="171" t="s">
        <v>161</v>
      </c>
      <c r="B93" s="171" t="s">
        <v>162</v>
      </c>
      <c r="C93" s="172">
        <f>_xlfn.MAXIFS(交易历史!B:B,交易历史!A:A,A93)</f>
        <v>100</v>
      </c>
      <c r="D93" s="172" t="str">
        <f>INDEX(交易历史!C:C,MATCH(A93,交易历史!A:A,0))</f>
        <v>【OldH】老H犟嘴</v>
      </c>
      <c r="E93" s="186" t="str">
        <f t="shared" si="3"/>
        <v>球员已拍定</v>
      </c>
      <c r="F93"/>
    </row>
    <row r="94" ht="45" customHeight="1" spans="1:6">
      <c r="A94" s="171" t="s">
        <v>163</v>
      </c>
      <c r="B94" s="171" t="s">
        <v>164</v>
      </c>
      <c r="C94" s="111">
        <f>_xlfn.MAXIFS(交易历史!B:B,交易历史!A:A,A94)</f>
        <v>0</v>
      </c>
      <c r="D94" s="176">
        <f>INDEX(交易历史!C:C,MATCH(A94,交易历史!A:A,0))</f>
        <v>0</v>
      </c>
      <c r="F94"/>
    </row>
    <row r="95" ht="45" customHeight="1" spans="1:6">
      <c r="A95" s="171" t="s">
        <v>165</v>
      </c>
      <c r="B95" s="171" t="s">
        <v>165</v>
      </c>
      <c r="C95" s="111">
        <f>_xlfn.MAXIFS(交易历史!B:B,交易历史!A:A,A95)</f>
        <v>0</v>
      </c>
      <c r="D95" s="176">
        <f>INDEX(交易历史!C:C,MATCH(A95,交易历史!A:A,0))</f>
        <v>0</v>
      </c>
      <c r="F95"/>
    </row>
    <row r="96" ht="45" customHeight="1" spans="1:6">
      <c r="A96" s="171" t="s">
        <v>166</v>
      </c>
      <c r="B96" s="171" t="s">
        <v>167</v>
      </c>
      <c r="C96" s="111">
        <f>_xlfn.MAXIFS(交易历史!B:B,交易历史!A:A,A96)</f>
        <v>0</v>
      </c>
      <c r="D96" s="176">
        <f>INDEX(交易历史!C:C,MATCH(A96,交易历史!A:A,0))</f>
        <v>0</v>
      </c>
      <c r="F96"/>
    </row>
    <row r="97" ht="45" customHeight="1" spans="1:6">
      <c r="A97" s="171" t="s">
        <v>168</v>
      </c>
      <c r="B97" s="171" t="s">
        <v>168</v>
      </c>
      <c r="C97" s="111">
        <f>_xlfn.MAXIFS(交易历史!B:B,交易历史!A:A,A97)</f>
        <v>0</v>
      </c>
      <c r="D97" s="176">
        <f>INDEX(交易历史!C:C,MATCH(A97,交易历史!A:A,0))</f>
        <v>0</v>
      </c>
      <c r="F97"/>
    </row>
    <row r="98" ht="45" customHeight="1" spans="1:6">
      <c r="A98" s="171" t="s">
        <v>169</v>
      </c>
      <c r="B98" s="171" t="s">
        <v>170</v>
      </c>
      <c r="C98" s="111">
        <f>_xlfn.MAXIFS(交易历史!B:B,交易历史!A:A,A98)</f>
        <v>0</v>
      </c>
      <c r="D98" s="176">
        <f>INDEX(交易历史!C:C,MATCH(A98,交易历史!A:A,0))</f>
        <v>0</v>
      </c>
      <c r="F98"/>
    </row>
    <row r="99" ht="45" customHeight="1" spans="1:6">
      <c r="A99" s="171" t="s">
        <v>171</v>
      </c>
      <c r="B99" s="171" t="s">
        <v>172</v>
      </c>
      <c r="C99" s="111">
        <f>_xlfn.MAXIFS(交易历史!B:B,交易历史!A:A,A99)</f>
        <v>0</v>
      </c>
      <c r="D99" s="176">
        <f>INDEX(交易历史!C:C,MATCH(A99,交易历史!A:A,0))</f>
        <v>0</v>
      </c>
      <c r="F99"/>
    </row>
    <row r="100" ht="45" customHeight="1" spans="1:6">
      <c r="A100" s="171" t="s">
        <v>173</v>
      </c>
      <c r="B100" s="171" t="s">
        <v>173</v>
      </c>
      <c r="C100" s="111">
        <f>_xlfn.MAXIFS(交易历史!B:B,交易历史!A:A,A100)</f>
        <v>0</v>
      </c>
      <c r="D100" s="176">
        <f>INDEX(交易历史!C:C,MATCH(A100,交易历史!A:A,0))</f>
        <v>0</v>
      </c>
      <c r="F100"/>
    </row>
    <row r="101" ht="45" customHeight="1" spans="1:6">
      <c r="A101" s="171" t="s">
        <v>174</v>
      </c>
      <c r="B101" s="171" t="s">
        <v>175</v>
      </c>
      <c r="C101" s="111">
        <f>_xlfn.MAXIFS(交易历史!B:B,交易历史!A:A,A101)</f>
        <v>0</v>
      </c>
      <c r="D101" s="176">
        <f>INDEX(交易历史!C:C,MATCH(A101,交易历史!A:A,0))</f>
        <v>0</v>
      </c>
      <c r="F101"/>
    </row>
    <row r="102" ht="45" customHeight="1" spans="1:6">
      <c r="A102" s="171" t="s">
        <v>176</v>
      </c>
      <c r="B102" s="171" t="s">
        <v>177</v>
      </c>
      <c r="C102" s="111">
        <f>_xlfn.MAXIFS(交易历史!B:B,交易历史!A:A,A102)</f>
        <v>0</v>
      </c>
      <c r="D102" s="176">
        <f>INDEX(交易历史!C:C,MATCH(A102,交易历史!A:A,0))</f>
        <v>0</v>
      </c>
      <c r="F102"/>
    </row>
    <row r="103" ht="45" customHeight="1" spans="1:6">
      <c r="A103" s="171" t="s">
        <v>178</v>
      </c>
      <c r="B103" s="171" t="s">
        <v>179</v>
      </c>
      <c r="C103" s="111">
        <f>_xlfn.MAXIFS(交易历史!B:B,交易历史!A:A,A103)</f>
        <v>0</v>
      </c>
      <c r="D103" s="176">
        <f>INDEX(交易历史!C:C,MATCH(A103,交易历史!A:A,0))</f>
        <v>0</v>
      </c>
      <c r="F103"/>
    </row>
    <row r="104" ht="45" customHeight="1" spans="1:6">
      <c r="A104" s="171" t="s">
        <v>180</v>
      </c>
      <c r="B104" s="171" t="s">
        <v>181</v>
      </c>
      <c r="C104" s="111">
        <f>_xlfn.MAXIFS(交易历史!B:B,交易历史!A:A,A104)</f>
        <v>0</v>
      </c>
      <c r="D104" s="176">
        <f>INDEX(交易历史!C:C,MATCH(A104,交易历史!A:A,0))</f>
        <v>0</v>
      </c>
      <c r="F104"/>
    </row>
    <row r="105" ht="45" customHeight="1" spans="1:6">
      <c r="A105" s="171" t="s">
        <v>182</v>
      </c>
      <c r="B105" s="171" t="s">
        <v>183</v>
      </c>
      <c r="C105" s="111">
        <f>_xlfn.MAXIFS(交易历史!B:B,交易历史!A:A,A105)</f>
        <v>0</v>
      </c>
      <c r="D105" s="176">
        <f>INDEX(交易历史!C:C,MATCH(A105,交易历史!A:A,0))</f>
        <v>0</v>
      </c>
      <c r="F105"/>
    </row>
    <row r="106" ht="45" customHeight="1" spans="1:6">
      <c r="A106" s="171" t="s">
        <v>184</v>
      </c>
      <c r="B106" s="171" t="s">
        <v>185</v>
      </c>
      <c r="C106" s="111">
        <f>_xlfn.MAXIFS(交易历史!B:B,交易历史!A:A,A106)</f>
        <v>0</v>
      </c>
      <c r="D106" s="176">
        <f>INDEX(交易历史!C:C,MATCH(A106,交易历史!A:A,0))</f>
        <v>0</v>
      </c>
      <c r="F106"/>
    </row>
    <row r="107" ht="45" customHeight="1" spans="1:6">
      <c r="A107" s="171" t="s">
        <v>186</v>
      </c>
      <c r="B107" s="171" t="s">
        <v>187</v>
      </c>
      <c r="C107" s="111">
        <f>_xlfn.MAXIFS(交易历史!B:B,交易历史!A:A,A107)</f>
        <v>0</v>
      </c>
      <c r="D107" s="176">
        <f>INDEX(交易历史!C:C,MATCH(A107,交易历史!A:A,0))</f>
        <v>0</v>
      </c>
      <c r="F107"/>
    </row>
    <row r="108" ht="45" customHeight="1" spans="1:6">
      <c r="A108" s="171" t="s">
        <v>188</v>
      </c>
      <c r="B108" s="171" t="s">
        <v>189</v>
      </c>
      <c r="C108" s="111">
        <f>_xlfn.MAXIFS(交易历史!B:B,交易历史!A:A,A108)</f>
        <v>0</v>
      </c>
      <c r="D108" s="176">
        <f>INDEX(交易历史!C:C,MATCH(A108,交易历史!A:A,0))</f>
        <v>0</v>
      </c>
      <c r="F108"/>
    </row>
    <row r="109" ht="45" customHeight="1" spans="1:6">
      <c r="A109" s="171" t="s">
        <v>190</v>
      </c>
      <c r="B109" s="171" t="s">
        <v>190</v>
      </c>
      <c r="C109" s="111">
        <f>_xlfn.MAXIFS(交易历史!B:B,交易历史!A:A,A109)</f>
        <v>0</v>
      </c>
      <c r="D109" s="176">
        <f>INDEX(交易历史!C:C,MATCH(A109,交易历史!A:A,0))</f>
        <v>0</v>
      </c>
      <c r="F109"/>
    </row>
    <row r="110" ht="45" customHeight="1" spans="1:6">
      <c r="A110" s="171" t="s">
        <v>191</v>
      </c>
      <c r="B110" s="171" t="s">
        <v>192</v>
      </c>
      <c r="C110" s="111">
        <f>_xlfn.MAXIFS(交易历史!B:B,交易历史!A:A,A110)</f>
        <v>0</v>
      </c>
      <c r="D110" s="176">
        <f>INDEX(交易历史!C:C,MATCH(A110,交易历史!A:A,0))</f>
        <v>0</v>
      </c>
      <c r="F110"/>
    </row>
    <row r="111" ht="45" customHeight="1" spans="1:6">
      <c r="A111" s="171" t="s">
        <v>193</v>
      </c>
      <c r="B111" s="171" t="s">
        <v>194</v>
      </c>
      <c r="C111" s="111">
        <f>_xlfn.MAXIFS(交易历史!B:B,交易历史!A:A,A111)</f>
        <v>0</v>
      </c>
      <c r="D111" s="176">
        <f>INDEX(交易历史!C:C,MATCH(A111,交易历史!A:A,0))</f>
        <v>0</v>
      </c>
      <c r="F111"/>
    </row>
    <row r="112" ht="45" customHeight="1" spans="1:6">
      <c r="A112" s="171" t="s">
        <v>195</v>
      </c>
      <c r="B112" s="171" t="s">
        <v>196</v>
      </c>
      <c r="C112" s="111">
        <f>_xlfn.MAXIFS(交易历史!B:B,交易历史!A:A,A112)</f>
        <v>0</v>
      </c>
      <c r="D112" s="176">
        <f>INDEX(交易历史!C:C,MATCH(A112,交易历史!A:A,0))</f>
        <v>0</v>
      </c>
      <c r="F112"/>
    </row>
    <row r="113" ht="45" customHeight="1" spans="1:6">
      <c r="A113" s="171" t="s">
        <v>197</v>
      </c>
      <c r="B113" s="171" t="s">
        <v>198</v>
      </c>
      <c r="C113" s="111">
        <f>_xlfn.MAXIFS(交易历史!B:B,交易历史!A:A,A113)</f>
        <v>0</v>
      </c>
      <c r="D113" s="176">
        <f>INDEX(交易历史!C:C,MATCH(A113,交易历史!A:A,0))</f>
        <v>0</v>
      </c>
      <c r="F113"/>
    </row>
    <row r="114" ht="45" customHeight="1" spans="1:6">
      <c r="A114" s="171" t="s">
        <v>199</v>
      </c>
      <c r="B114" s="171" t="s">
        <v>200</v>
      </c>
      <c r="C114" s="111">
        <f>_xlfn.MAXIFS(交易历史!B:B,交易历史!A:A,A114)</f>
        <v>0</v>
      </c>
      <c r="D114" s="176">
        <f>INDEX(交易历史!C:C,MATCH(A114,交易历史!A:A,0))</f>
        <v>0</v>
      </c>
      <c r="F114"/>
    </row>
    <row r="115" ht="45" customHeight="1" spans="1:6">
      <c r="A115" s="171" t="s">
        <v>201</v>
      </c>
      <c r="B115" s="171" t="s">
        <v>202</v>
      </c>
      <c r="C115" s="111">
        <f>_xlfn.MAXIFS(交易历史!B:B,交易历史!A:A,A115)</f>
        <v>0</v>
      </c>
      <c r="D115" s="176">
        <f>INDEX(交易历史!C:C,MATCH(A115,交易历史!A:A,0))</f>
        <v>0</v>
      </c>
      <c r="F115"/>
    </row>
    <row r="116" ht="45" customHeight="1" spans="1:6">
      <c r="A116" s="171" t="s">
        <v>203</v>
      </c>
      <c r="B116" s="171" t="s">
        <v>204</v>
      </c>
      <c r="C116" s="111">
        <f>_xlfn.MAXIFS(交易历史!B:B,交易历史!A:A,A116)</f>
        <v>0</v>
      </c>
      <c r="D116" s="176">
        <f>INDEX(交易历史!C:C,MATCH(A116,交易历史!A:A,0))</f>
        <v>0</v>
      </c>
      <c r="F116"/>
    </row>
    <row r="117" ht="45" customHeight="1" spans="1:6">
      <c r="A117" s="171" t="s">
        <v>205</v>
      </c>
      <c r="B117" s="171" t="s">
        <v>206</v>
      </c>
      <c r="C117" s="111">
        <f>_xlfn.MAXIFS(交易历史!B:B,交易历史!A:A,A117)</f>
        <v>0</v>
      </c>
      <c r="D117" s="176">
        <f>INDEX(交易历史!C:C,MATCH(A117,交易历史!A:A,0))</f>
        <v>0</v>
      </c>
      <c r="F117"/>
    </row>
    <row r="118" ht="45" customHeight="1" spans="1:6">
      <c r="A118" s="171" t="s">
        <v>207</v>
      </c>
      <c r="B118" s="171" t="s">
        <v>207</v>
      </c>
      <c r="C118" s="111">
        <f>_xlfn.MAXIFS(交易历史!B:B,交易历史!A:A,A118)</f>
        <v>0</v>
      </c>
      <c r="D118" s="176">
        <f>INDEX(交易历史!C:C,MATCH(A118,交易历史!A:A,0))</f>
        <v>0</v>
      </c>
      <c r="F118"/>
    </row>
    <row r="119" ht="45" customHeight="1" spans="1:6">
      <c r="A119" s="171" t="s">
        <v>208</v>
      </c>
      <c r="B119" s="171" t="s">
        <v>208</v>
      </c>
      <c r="C119" s="111">
        <f>_xlfn.MAXIFS(交易历史!B:B,交易历史!A:A,A119)</f>
        <v>0</v>
      </c>
      <c r="D119" s="176">
        <f>INDEX(交易历史!C:C,MATCH(A119,交易历史!A:A,0))</f>
        <v>0</v>
      </c>
      <c r="F119"/>
    </row>
    <row r="120" ht="45" customHeight="1" spans="1:6">
      <c r="A120" s="171" t="s">
        <v>209</v>
      </c>
      <c r="B120" s="171" t="s">
        <v>209</v>
      </c>
      <c r="C120" s="111">
        <f>_xlfn.MAXIFS(交易历史!B:B,交易历史!A:A,A120)</f>
        <v>0</v>
      </c>
      <c r="D120" s="176">
        <f>INDEX(交易历史!C:C,MATCH(A120,交易历史!A:A,0))</f>
        <v>0</v>
      </c>
      <c r="F120"/>
    </row>
    <row r="121" ht="45" customHeight="1" spans="1:6">
      <c r="A121" s="171" t="s">
        <v>210</v>
      </c>
      <c r="B121" s="171" t="s">
        <v>211</v>
      </c>
      <c r="C121" s="111">
        <f>_xlfn.MAXIFS(交易历史!B:B,交易历史!A:A,A121)</f>
        <v>0</v>
      </c>
      <c r="D121" s="176">
        <f>INDEX(交易历史!C:C,MATCH(A121,交易历史!A:A,0))</f>
        <v>0</v>
      </c>
      <c r="F121"/>
    </row>
    <row r="122" ht="45" customHeight="1" spans="1:6">
      <c r="A122" s="171" t="s">
        <v>212</v>
      </c>
      <c r="B122" s="171" t="s">
        <v>212</v>
      </c>
      <c r="C122" s="111">
        <f>_xlfn.MAXIFS(交易历史!B:B,交易历史!A:A,A122)</f>
        <v>0</v>
      </c>
      <c r="D122" s="176">
        <f>INDEX(交易历史!C:C,MATCH(A122,交易历史!A:A,0))</f>
        <v>0</v>
      </c>
      <c r="F122"/>
    </row>
    <row r="123" ht="45" customHeight="1" spans="1:6">
      <c r="A123" s="171" t="s">
        <v>213</v>
      </c>
      <c r="B123" s="171" t="s">
        <v>213</v>
      </c>
      <c r="C123" s="111">
        <f>_xlfn.MAXIFS(交易历史!B:B,交易历史!A:A,A123)</f>
        <v>0</v>
      </c>
      <c r="D123" s="176">
        <f>INDEX(交易历史!C:C,MATCH(A123,交易历史!A:A,0))</f>
        <v>0</v>
      </c>
      <c r="F123"/>
    </row>
    <row r="124" ht="45" customHeight="1" spans="1:6">
      <c r="A124" s="171" t="s">
        <v>214</v>
      </c>
      <c r="B124" s="171" t="s">
        <v>215</v>
      </c>
      <c r="C124" s="111">
        <f>_xlfn.MAXIFS(交易历史!B:B,交易历史!A:A,A124)</f>
        <v>0</v>
      </c>
      <c r="D124" s="176">
        <f>INDEX(交易历史!C:C,MATCH(A124,交易历史!A:A,0))</f>
        <v>0</v>
      </c>
      <c r="F124"/>
    </row>
    <row r="125" ht="45" customHeight="1" spans="1:6">
      <c r="A125" s="171" t="s">
        <v>216</v>
      </c>
      <c r="B125" s="171" t="s">
        <v>217</v>
      </c>
      <c r="C125" s="111">
        <f>_xlfn.MAXIFS(交易历史!B:B,交易历史!A:A,A125)</f>
        <v>0</v>
      </c>
      <c r="D125" s="176">
        <f>INDEX(交易历史!C:C,MATCH(A125,交易历史!A:A,0))</f>
        <v>0</v>
      </c>
      <c r="F125"/>
    </row>
    <row r="126" ht="45" customHeight="1" spans="1:6">
      <c r="A126" s="177"/>
      <c r="C126" s="111">
        <f>_xlfn.MAXIFS(交易历史!B:B,交易历史!A:A,A126)</f>
        <v>0</v>
      </c>
      <c r="D126" s="176" t="e">
        <f>INDEX(交易历史!C:C,MATCH(A126,交易历史!A:A,0))</f>
        <v>#N/A</v>
      </c>
      <c r="F126"/>
    </row>
    <row r="127" ht="45" customHeight="1" spans="1:6">
      <c r="A127" s="177"/>
      <c r="C127" s="111">
        <f>_xlfn.MAXIFS(交易历史!B:B,交易历史!A:A,A127)</f>
        <v>0</v>
      </c>
      <c r="D127" s="176" t="e">
        <f>INDEX(交易历史!C:C,MATCH(A127,交易历史!A:A,0))</f>
        <v>#N/A</v>
      </c>
      <c r="F127"/>
    </row>
    <row r="128" ht="45" customHeight="1" spans="1:6">
      <c r="A128" s="75"/>
      <c r="C128" s="111">
        <f>_xlfn.MAXIFS(交易历史!B:B,交易历史!A:A,A128)</f>
        <v>0</v>
      </c>
      <c r="D128" s="176" t="e">
        <f>INDEX(交易历史!C:C,MATCH(A128,交易历史!A:A,0))</f>
        <v>#N/A</v>
      </c>
      <c r="F128"/>
    </row>
    <row r="129" ht="45" customHeight="1" spans="1:6">
      <c r="A129" s="177"/>
      <c r="C129" s="111">
        <f>_xlfn.MAXIFS(交易历史!B:B,交易历史!A:A,A129)</f>
        <v>0</v>
      </c>
      <c r="D129" s="176" t="e">
        <f>INDEX(交易历史!C:C,MATCH(A129,交易历史!A:A,0))</f>
        <v>#N/A</v>
      </c>
      <c r="F129"/>
    </row>
    <row r="130" ht="45" customHeight="1" spans="1:6">
      <c r="A130" s="177"/>
      <c r="C130" s="111">
        <f>_xlfn.MAXIFS(交易历史!B:B,交易历史!A:A,A130)</f>
        <v>0</v>
      </c>
      <c r="D130" s="176" t="e">
        <f>INDEX(交易历史!C:C,MATCH(A130,交易历史!A:A,0))</f>
        <v>#N/A</v>
      </c>
      <c r="F130"/>
    </row>
    <row r="131" ht="45" customHeight="1" spans="1:6">
      <c r="A131" s="177"/>
      <c r="C131" s="111">
        <f>_xlfn.MAXIFS(交易历史!B:B,交易历史!A:A,A131)</f>
        <v>0</v>
      </c>
      <c r="D131" s="176" t="e">
        <f>INDEX(交易历史!C:C,MATCH(A131,交易历史!A:A,0))</f>
        <v>#N/A</v>
      </c>
      <c r="F131"/>
    </row>
    <row r="132" ht="45" customHeight="1" spans="1:6">
      <c r="A132" s="177"/>
      <c r="C132" s="111">
        <f>_xlfn.MAXIFS(交易历史!B:B,交易历史!A:A,A132)</f>
        <v>0</v>
      </c>
      <c r="D132" s="176" t="e">
        <f>INDEX(交易历史!C:C,MATCH(A132,交易历史!A:A,0))</f>
        <v>#N/A</v>
      </c>
      <c r="F132"/>
    </row>
    <row r="133" ht="45" customHeight="1" spans="1:6">
      <c r="A133" s="177"/>
      <c r="C133" s="111">
        <f>_xlfn.MAXIFS(交易历史!B:B,交易历史!A:A,A133)</f>
        <v>0</v>
      </c>
      <c r="D133" s="176" t="e">
        <f>INDEX(交易历史!C:C,MATCH(A133,交易历史!A:A,0))</f>
        <v>#N/A</v>
      </c>
      <c r="F133"/>
    </row>
    <row r="134" ht="45" customHeight="1" spans="1:6">
      <c r="A134" s="177"/>
      <c r="C134" s="111">
        <f>_xlfn.MAXIFS(交易历史!B:B,交易历史!A:A,A134)</f>
        <v>0</v>
      </c>
      <c r="D134" s="176" t="e">
        <f>INDEX(交易历史!C:C,MATCH(A134,交易历史!A:A,0))</f>
        <v>#N/A</v>
      </c>
      <c r="F134"/>
    </row>
    <row r="135" ht="45" customHeight="1" spans="1:6">
      <c r="A135" s="177"/>
      <c r="C135" s="111">
        <f>_xlfn.MAXIFS(交易历史!B:B,交易历史!A:A,A135)</f>
        <v>0</v>
      </c>
      <c r="D135" s="176" t="e">
        <f>INDEX(交易历史!C:C,MATCH(A135,交易历史!A:A,0))</f>
        <v>#N/A</v>
      </c>
      <c r="F135"/>
    </row>
    <row r="136" ht="45" customHeight="1" spans="1:6">
      <c r="A136" s="177"/>
      <c r="C136" s="111">
        <f>_xlfn.MAXIFS(交易历史!B:B,交易历史!A:A,A136)</f>
        <v>0</v>
      </c>
      <c r="D136" s="176" t="e">
        <f>INDEX(交易历史!C:C,MATCH(A136,交易历史!A:A,0))</f>
        <v>#N/A</v>
      </c>
      <c r="F136"/>
    </row>
    <row r="137" ht="45" customHeight="1" spans="1:6">
      <c r="A137" s="177"/>
      <c r="C137" s="111">
        <f>_xlfn.MAXIFS(交易历史!B:B,交易历史!A:A,A137)</f>
        <v>0</v>
      </c>
      <c r="D137" s="176" t="e">
        <f>INDEX(交易历史!C:C,MATCH(A137,交易历史!A:A,0))</f>
        <v>#N/A</v>
      </c>
      <c r="F137"/>
    </row>
    <row r="138" ht="45" customHeight="1" spans="1:6">
      <c r="A138" s="177"/>
      <c r="C138" s="111">
        <f>_xlfn.MAXIFS(交易历史!B:B,交易历史!A:A,A138)</f>
        <v>0</v>
      </c>
      <c r="D138" s="176" t="e">
        <f>INDEX(交易历史!C:C,MATCH(A138,交易历史!A:A,0))</f>
        <v>#N/A</v>
      </c>
      <c r="F138"/>
    </row>
    <row r="139" ht="45" customHeight="1" spans="1:6">
      <c r="A139" s="177"/>
      <c r="C139" s="111">
        <f>_xlfn.MAXIFS(交易历史!B:B,交易历史!A:A,A139)</f>
        <v>0</v>
      </c>
      <c r="D139" s="176" t="e">
        <f>INDEX(交易历史!C:C,MATCH(A139,交易历史!A:A,0))</f>
        <v>#N/A</v>
      </c>
      <c r="F139"/>
    </row>
    <row r="140" ht="45" customHeight="1" spans="1:6">
      <c r="A140" s="177"/>
      <c r="C140" s="111">
        <f>_xlfn.MAXIFS(交易历史!B:B,交易历史!A:A,A140)</f>
        <v>0</v>
      </c>
      <c r="D140" s="176" t="e">
        <f>INDEX(交易历史!C:C,MATCH(A140,交易历史!A:A,0))</f>
        <v>#N/A</v>
      </c>
      <c r="F140"/>
    </row>
    <row r="141" ht="45" customHeight="1" spans="1:6">
      <c r="A141" s="177"/>
      <c r="C141" s="111">
        <f>_xlfn.MAXIFS(交易历史!B:B,交易历史!A:A,A141)</f>
        <v>0</v>
      </c>
      <c r="D141" s="176" t="e">
        <f>INDEX(交易历史!C:C,MATCH(A141,交易历史!A:A,0))</f>
        <v>#N/A</v>
      </c>
      <c r="F141"/>
    </row>
    <row r="142" ht="45" customHeight="1" spans="1:6">
      <c r="A142" s="177"/>
      <c r="C142" s="111">
        <f>_xlfn.MAXIFS(交易历史!B:B,交易历史!A:A,A142)</f>
        <v>0</v>
      </c>
      <c r="D142" s="176" t="e">
        <f>INDEX(交易历史!C:C,MATCH(A142,交易历史!A:A,0))</f>
        <v>#N/A</v>
      </c>
      <c r="F142"/>
    </row>
    <row r="143" ht="45" customHeight="1" spans="1:6">
      <c r="A143" s="177"/>
      <c r="C143" s="111">
        <f>_xlfn.MAXIFS(交易历史!B:B,交易历史!A:A,A143)</f>
        <v>0</v>
      </c>
      <c r="D143" s="176" t="e">
        <f>INDEX(交易历史!C:C,MATCH(A143,交易历史!A:A,0))</f>
        <v>#N/A</v>
      </c>
      <c r="F143"/>
    </row>
    <row r="144" ht="45" customHeight="1" spans="1:6">
      <c r="A144" s="177"/>
      <c r="C144" s="111">
        <f>_xlfn.MAXIFS(交易历史!B:B,交易历史!A:A,A144)</f>
        <v>0</v>
      </c>
      <c r="D144" s="176" t="e">
        <f>INDEX(交易历史!C:C,MATCH(A144,交易历史!A:A,0))</f>
        <v>#N/A</v>
      </c>
      <c r="F144"/>
    </row>
    <row r="145" ht="45" customHeight="1" spans="1:4">
      <c r="A145" s="177"/>
      <c r="C145" s="111"/>
      <c r="D145" s="176"/>
    </row>
    <row r="146" ht="45" customHeight="1" spans="1:4">
      <c r="A146" s="177"/>
      <c r="C146" s="111"/>
      <c r="D146" s="176"/>
    </row>
    <row r="147" ht="45" customHeight="1" spans="1:4">
      <c r="A147" s="177"/>
      <c r="C147" s="111"/>
      <c r="D147" s="176"/>
    </row>
    <row r="148" ht="45" customHeight="1" spans="1:4">
      <c r="A148" s="177"/>
      <c r="C148" s="111"/>
      <c r="D148" s="172"/>
    </row>
    <row r="149" ht="45" customHeight="1" spans="1:4">
      <c r="A149" s="177"/>
      <c r="C149" s="111"/>
      <c r="D149" s="172"/>
    </row>
    <row r="150" ht="45" customHeight="1" spans="1:4">
      <c r="A150" s="177"/>
      <c r="C150" s="111"/>
      <c r="D150" s="172"/>
    </row>
    <row r="151" ht="45" customHeight="1" spans="1:4">
      <c r="A151" s="177"/>
      <c r="C151" s="111"/>
      <c r="D151" s="172"/>
    </row>
    <row r="152" ht="45" customHeight="1" spans="1:4">
      <c r="A152" s="177"/>
      <c r="C152" s="111"/>
      <c r="D152" s="172"/>
    </row>
    <row r="153" ht="45" customHeight="1" spans="1:4">
      <c r="A153" s="76"/>
      <c r="C153" s="111"/>
      <c r="D153" s="172"/>
    </row>
    <row r="154" ht="45" customHeight="1" spans="1:4">
      <c r="A154" s="177"/>
      <c r="C154" s="111"/>
      <c r="D154" s="172"/>
    </row>
    <row r="155" ht="45" customHeight="1" spans="1:4">
      <c r="A155" s="177"/>
      <c r="C155" s="111"/>
      <c r="D155" s="172"/>
    </row>
    <row r="156" ht="45" customHeight="1" spans="1:4">
      <c r="A156" s="177"/>
      <c r="C156" s="111"/>
      <c r="D156" s="172"/>
    </row>
    <row r="157" ht="45" customHeight="1" spans="1:4">
      <c r="A157" s="177"/>
      <c r="C157" s="111"/>
      <c r="D157" s="172"/>
    </row>
    <row r="158" ht="45" customHeight="1" spans="1:4">
      <c r="A158" s="177"/>
      <c r="C158" s="111"/>
      <c r="D158" s="172"/>
    </row>
    <row r="159" ht="45" customHeight="1" spans="1:4">
      <c r="A159" s="177"/>
      <c r="C159" s="111"/>
      <c r="D159" s="172"/>
    </row>
    <row r="160" ht="45" customHeight="1" spans="1:4">
      <c r="A160" s="177"/>
      <c r="C160" s="111"/>
      <c r="D160" s="172"/>
    </row>
    <row r="161" ht="45" customHeight="1" spans="1:4">
      <c r="A161" s="177"/>
      <c r="C161" s="111"/>
      <c r="D161" s="172"/>
    </row>
    <row r="162" ht="45" customHeight="1" spans="1:4">
      <c r="A162" s="177"/>
      <c r="C162" s="111"/>
      <c r="D162" s="172"/>
    </row>
    <row r="163" ht="45" customHeight="1" spans="1:4">
      <c r="A163" s="177"/>
      <c r="C163" s="111"/>
      <c r="D163" s="172"/>
    </row>
    <row r="164" ht="45" customHeight="1" spans="1:4">
      <c r="A164" s="177"/>
      <c r="C164" s="111"/>
      <c r="D164" s="172"/>
    </row>
    <row r="165" ht="45" customHeight="1" spans="1:4">
      <c r="A165" s="177"/>
      <c r="C165" s="111"/>
      <c r="D165" s="172"/>
    </row>
    <row r="166" ht="45" customHeight="1" spans="1:4">
      <c r="A166" s="177"/>
      <c r="C166" s="111"/>
      <c r="D166" s="172"/>
    </row>
    <row r="167" ht="45" customHeight="1" spans="1:4">
      <c r="A167" s="177"/>
      <c r="C167" s="111"/>
      <c r="D167" s="172"/>
    </row>
    <row r="168" ht="45" customHeight="1" spans="1:4">
      <c r="A168" s="177"/>
      <c r="C168" s="111"/>
      <c r="D168" s="172"/>
    </row>
    <row r="169" ht="45" customHeight="1" spans="1:4">
      <c r="A169" s="76"/>
      <c r="C169" s="111"/>
      <c r="D169" s="172"/>
    </row>
    <row r="170" ht="45" customHeight="1" spans="1:4">
      <c r="A170" s="177"/>
      <c r="C170" s="111"/>
      <c r="D170" s="172"/>
    </row>
    <row r="171" ht="45" customHeight="1" spans="1:4">
      <c r="A171" s="177"/>
      <c r="C171" s="111"/>
      <c r="D171" s="172"/>
    </row>
    <row r="172" ht="45" customHeight="1" spans="1:4">
      <c r="A172" s="177"/>
      <c r="C172" s="111"/>
      <c r="D172" s="172"/>
    </row>
    <row r="173" ht="45" customHeight="1" spans="1:4">
      <c r="A173" s="177"/>
      <c r="C173" s="111"/>
      <c r="D173" s="172"/>
    </row>
    <row r="174" ht="45" customHeight="1" spans="1:4">
      <c r="A174" s="177"/>
      <c r="C174" s="111"/>
      <c r="D174" s="172"/>
    </row>
    <row r="175" ht="45" customHeight="1" spans="1:4">
      <c r="A175" s="177"/>
      <c r="C175" s="111"/>
      <c r="D175" s="172"/>
    </row>
    <row r="176" ht="45" customHeight="1" spans="1:4">
      <c r="A176" s="177"/>
      <c r="C176" s="111"/>
      <c r="D176" s="172"/>
    </row>
    <row r="177" ht="45" customHeight="1" spans="1:3">
      <c r="A177" s="177"/>
      <c r="C177" s="111"/>
    </row>
    <row r="178" ht="45" customHeight="1" spans="3:3">
      <c r="C178" s="111"/>
    </row>
    <row r="179" ht="45" customHeight="1" spans="3:3">
      <c r="C179" s="111"/>
    </row>
    <row r="180" ht="45" customHeight="1" spans="3:3">
      <c r="C180" s="111"/>
    </row>
    <row r="181" ht="45" customHeight="1" spans="3:3">
      <c r="C181" s="111"/>
    </row>
    <row r="182" ht="45" customHeight="1" spans="3:3">
      <c r="C182" s="111"/>
    </row>
    <row r="183" ht="45" customHeight="1" spans="3:3">
      <c r="C183" s="111"/>
    </row>
    <row r="184" ht="45" customHeight="1" spans="3:3">
      <c r="C184" s="111"/>
    </row>
    <row r="185" ht="45" customHeight="1" spans="3:3">
      <c r="C185" s="111"/>
    </row>
    <row r="186" ht="45" customHeight="1" spans="3:3">
      <c r="C186" s="111"/>
    </row>
    <row r="187" ht="45" customHeight="1" spans="3:3">
      <c r="C187" s="111"/>
    </row>
    <row r="188" ht="45" customHeight="1" spans="3:3">
      <c r="C188" s="111"/>
    </row>
    <row r="189" ht="45" customHeight="1" spans="3:3">
      <c r="C189" s="111"/>
    </row>
    <row r="190" ht="45" customHeight="1" spans="3:3">
      <c r="C190" s="111"/>
    </row>
    <row r="191" ht="45" customHeight="1" spans="3:3">
      <c r="C191" s="111"/>
    </row>
    <row r="192" ht="45" customHeight="1" spans="3:3">
      <c r="C192" s="111"/>
    </row>
    <row r="193" ht="45" customHeight="1" spans="3:3">
      <c r="C193" s="111"/>
    </row>
    <row r="194" ht="45" customHeight="1" spans="3:3">
      <c r="C194" s="111"/>
    </row>
    <row r="195" ht="45" customHeight="1" spans="3:3">
      <c r="C195" s="111"/>
    </row>
    <row r="196" ht="45" customHeight="1" spans="3:3">
      <c r="C196" s="111">
        <v>1000</v>
      </c>
    </row>
    <row r="197" ht="45" customHeight="1" spans="3:3">
      <c r="C197" s="111"/>
    </row>
    <row r="198" ht="45" customHeight="1" spans="3:3">
      <c r="C198" s="111"/>
    </row>
    <row r="199" ht="45" customHeight="1" spans="3:3">
      <c r="C199" s="111"/>
    </row>
    <row r="200" ht="45" customHeight="1" spans="3:3">
      <c r="C200" s="111"/>
    </row>
    <row r="201" ht="45" customHeight="1" spans="3:3">
      <c r="C201" s="111"/>
    </row>
    <row r="202" ht="45" customHeight="1" spans="3:3">
      <c r="C202" s="111"/>
    </row>
    <row r="203" ht="45" customHeight="1" spans="3:3">
      <c r="C203" s="111"/>
    </row>
    <row r="204" ht="45" customHeight="1" spans="3:3">
      <c r="C204" s="111"/>
    </row>
    <row r="205" ht="45" customHeight="1" spans="3:3">
      <c r="C205" s="111"/>
    </row>
    <row r="206" ht="45" customHeight="1" spans="3:3">
      <c r="C206" s="111"/>
    </row>
    <row r="207" ht="45" customHeight="1" spans="3:3">
      <c r="C207" s="111"/>
    </row>
    <row r="208" ht="45" customHeight="1" spans="3:3">
      <c r="C208" s="111"/>
    </row>
    <row r="209" ht="45" customHeight="1" spans="3:3">
      <c r="C209" s="111"/>
    </row>
    <row r="210" ht="45" customHeight="1" spans="3:3">
      <c r="C210" s="111"/>
    </row>
    <row r="211" ht="45" customHeight="1" spans="3:3">
      <c r="C211" s="111"/>
    </row>
    <row r="212" ht="45" customHeight="1" spans="3:3">
      <c r="C212" s="111"/>
    </row>
    <row r="213" ht="45" customHeight="1" spans="3:3">
      <c r="C213" s="111"/>
    </row>
    <row r="214" ht="45" customHeight="1" spans="3:3">
      <c r="C214" s="111"/>
    </row>
    <row r="215" ht="45" customHeight="1" spans="3:3">
      <c r="C215" s="111"/>
    </row>
    <row r="216" ht="45" customHeight="1" spans="3:3">
      <c r="C216" s="111"/>
    </row>
    <row r="217" ht="45" customHeight="1" spans="3:3">
      <c r="C217" s="111"/>
    </row>
    <row r="218" ht="45" customHeight="1" spans="3:3">
      <c r="C218" s="111"/>
    </row>
    <row r="219" ht="45" customHeight="1" spans="3:3">
      <c r="C219" s="111"/>
    </row>
    <row r="220" ht="45" customHeight="1" spans="3:3">
      <c r="C220" s="111"/>
    </row>
    <row r="221" ht="45" customHeight="1" spans="3:3">
      <c r="C221" s="111"/>
    </row>
    <row r="222" ht="45" customHeight="1" spans="3:3">
      <c r="C222" s="111"/>
    </row>
    <row r="223" ht="45" customHeight="1" spans="3:3">
      <c r="C223" s="111"/>
    </row>
    <row r="224" ht="45" customHeight="1" spans="3:3">
      <c r="C224" s="111"/>
    </row>
    <row r="225" ht="45" customHeight="1" spans="3:3">
      <c r="C225" s="111"/>
    </row>
    <row r="226" ht="45" customHeight="1" spans="3:3">
      <c r="C226" s="111"/>
    </row>
    <row r="227" ht="45" customHeight="1" spans="3:3">
      <c r="C227" s="111"/>
    </row>
    <row r="228" ht="45" customHeight="1" spans="3:3">
      <c r="C228" s="111"/>
    </row>
    <row r="229" ht="45" customHeight="1" spans="3:3">
      <c r="C229" s="111"/>
    </row>
    <row r="230" ht="45" customHeight="1" spans="3:3">
      <c r="C230" s="111"/>
    </row>
    <row r="231" ht="45" customHeight="1" spans="3:3">
      <c r="C231" s="111"/>
    </row>
    <row r="232" spans="3:3">
      <c r="C232" s="111"/>
    </row>
    <row r="233" spans="3:3">
      <c r="C233" s="111"/>
    </row>
    <row r="234" spans="3:3">
      <c r="C234" s="111"/>
    </row>
    <row r="235" spans="3:3">
      <c r="C235" s="111"/>
    </row>
    <row r="236" spans="3:3">
      <c r="C236" s="111"/>
    </row>
    <row r="237" spans="3:3">
      <c r="C237" s="111"/>
    </row>
    <row r="238" spans="3:3">
      <c r="C238" s="111"/>
    </row>
    <row r="239" spans="3:3">
      <c r="C239" s="111"/>
    </row>
    <row r="240" spans="3:3">
      <c r="C240" s="111"/>
    </row>
    <row r="241" spans="3:3">
      <c r="C241" s="111"/>
    </row>
    <row r="242" spans="3:3">
      <c r="C242" s="111"/>
    </row>
    <row r="243" spans="3:3">
      <c r="C243" s="111"/>
    </row>
    <row r="244" spans="3:3">
      <c r="C244" s="111"/>
    </row>
    <row r="245" spans="3:3">
      <c r="C245" s="111"/>
    </row>
    <row r="246" spans="3:3">
      <c r="C246" s="111"/>
    </row>
    <row r="247" spans="3:3">
      <c r="C247" s="111"/>
    </row>
    <row r="248" spans="3:3">
      <c r="C248" s="111"/>
    </row>
    <row r="249" spans="3:3">
      <c r="C249" s="111"/>
    </row>
    <row r="250" spans="3:3">
      <c r="C250" s="111"/>
    </row>
    <row r="251" spans="3:3">
      <c r="C251" s="111"/>
    </row>
    <row r="252" spans="3:3">
      <c r="C252" s="111"/>
    </row>
    <row r="253" spans="3:3">
      <c r="C253" s="111"/>
    </row>
    <row r="254" spans="3:3">
      <c r="C254" s="111"/>
    </row>
    <row r="255" spans="3:3">
      <c r="C255" s="111"/>
    </row>
    <row r="256" spans="3:3">
      <c r="C256" s="111"/>
    </row>
    <row r="257" spans="3:3">
      <c r="C257" s="111"/>
    </row>
    <row r="258" spans="3:3">
      <c r="C258" s="111"/>
    </row>
    <row r="259" spans="3:3">
      <c r="C259" s="111"/>
    </row>
    <row r="260" spans="3:3">
      <c r="C260" s="111"/>
    </row>
    <row r="261" spans="3:3">
      <c r="C261" s="111"/>
    </row>
    <row r="262" spans="3:3">
      <c r="C262" s="111"/>
    </row>
    <row r="263" spans="3:3">
      <c r="C263" s="111"/>
    </row>
    <row r="264" spans="3:3">
      <c r="C264" s="111"/>
    </row>
    <row r="265" spans="3:3">
      <c r="C265" s="111"/>
    </row>
    <row r="266" spans="3:3">
      <c r="C266" s="111"/>
    </row>
    <row r="267" spans="3:3">
      <c r="C267" s="111"/>
    </row>
    <row r="268" spans="3:3">
      <c r="C268" s="111"/>
    </row>
    <row r="269" spans="3:3">
      <c r="C269" s="111"/>
    </row>
    <row r="270" spans="3:3">
      <c r="C270" s="111"/>
    </row>
    <row r="271" spans="3:3">
      <c r="C271" s="111"/>
    </row>
    <row r="272" spans="3:3">
      <c r="C272" s="111"/>
    </row>
    <row r="273" spans="3:3">
      <c r="C273" s="111"/>
    </row>
    <row r="274" spans="3:3">
      <c r="C274" s="111"/>
    </row>
    <row r="275" spans="3:3">
      <c r="C275" s="111"/>
    </row>
    <row r="276" spans="3:3">
      <c r="C276" s="111"/>
    </row>
    <row r="277" spans="3:3">
      <c r="C277" s="111"/>
    </row>
    <row r="278" spans="3:3">
      <c r="C278" s="111"/>
    </row>
    <row r="279" spans="3:3">
      <c r="C279" s="111"/>
    </row>
    <row r="280" spans="3:3">
      <c r="C280" s="111"/>
    </row>
    <row r="281" spans="3:3">
      <c r="C281" s="111"/>
    </row>
    <row r="282" spans="3:3">
      <c r="C282" s="111"/>
    </row>
    <row r="283" spans="3:3">
      <c r="C283" s="111"/>
    </row>
    <row r="284" spans="3:3">
      <c r="C284" s="111"/>
    </row>
    <row r="285" spans="3:3">
      <c r="C285" s="111"/>
    </row>
    <row r="286" spans="3:3">
      <c r="C286" s="111"/>
    </row>
    <row r="287" spans="3:3">
      <c r="C287" s="111"/>
    </row>
    <row r="288" spans="3:3">
      <c r="C288" s="111"/>
    </row>
    <row r="289" spans="3:3">
      <c r="C289" s="111"/>
    </row>
    <row r="290" spans="3:3">
      <c r="C290" s="111"/>
    </row>
    <row r="291" spans="3:3">
      <c r="C291" s="111"/>
    </row>
    <row r="292" spans="3:3">
      <c r="C292" s="111"/>
    </row>
    <row r="293" spans="3:3">
      <c r="C293" s="111"/>
    </row>
    <row r="294" spans="3:3">
      <c r="C294" s="111"/>
    </row>
    <row r="295" spans="3:3">
      <c r="C295" s="111"/>
    </row>
    <row r="296" spans="3:3">
      <c r="C296" s="111"/>
    </row>
    <row r="297" spans="3:3">
      <c r="C297" s="111"/>
    </row>
    <row r="298" spans="3:3">
      <c r="C298" s="111"/>
    </row>
    <row r="299" spans="3:3">
      <c r="C299" s="111"/>
    </row>
    <row r="300" spans="3:3">
      <c r="C300" s="111"/>
    </row>
    <row r="301" spans="3:3">
      <c r="C301" s="111"/>
    </row>
    <row r="302" spans="3:3">
      <c r="C302" s="111"/>
    </row>
    <row r="303" spans="3:3">
      <c r="C303" s="111"/>
    </row>
    <row r="304" spans="3:3">
      <c r="C304" s="111"/>
    </row>
    <row r="305" spans="3:3">
      <c r="C305" s="111"/>
    </row>
    <row r="306" spans="3:3">
      <c r="C306" s="111"/>
    </row>
    <row r="307" spans="3:3">
      <c r="C307" s="111"/>
    </row>
    <row r="308" spans="3:3">
      <c r="C308" s="111"/>
    </row>
    <row r="309" spans="3:3">
      <c r="C309" s="111"/>
    </row>
    <row r="310" spans="3:3">
      <c r="C310" s="111"/>
    </row>
    <row r="311" spans="3:3">
      <c r="C311" s="111"/>
    </row>
    <row r="312" spans="3:3">
      <c r="C312" s="111"/>
    </row>
    <row r="313" spans="3:3">
      <c r="C313" s="111"/>
    </row>
    <row r="314" spans="3:3">
      <c r="C314" s="111"/>
    </row>
    <row r="315" spans="3:3">
      <c r="C315" s="111"/>
    </row>
    <row r="316" spans="3:3">
      <c r="C316" s="111"/>
    </row>
    <row r="317" spans="3:3">
      <c r="C317" s="111"/>
    </row>
    <row r="318" spans="3:3">
      <c r="C318" s="111"/>
    </row>
    <row r="319" spans="3:3">
      <c r="C319" s="111"/>
    </row>
    <row r="320" spans="3:3">
      <c r="C320" s="111"/>
    </row>
    <row r="321" spans="3:3">
      <c r="C321" s="111"/>
    </row>
    <row r="322" spans="3:3">
      <c r="C322" s="111"/>
    </row>
    <row r="323" spans="3:3">
      <c r="C323" s="111"/>
    </row>
    <row r="324" spans="3:3">
      <c r="C324" s="111"/>
    </row>
    <row r="325" spans="3:3">
      <c r="C325" s="111"/>
    </row>
    <row r="326" spans="3:3">
      <c r="C326" s="111"/>
    </row>
    <row r="327" spans="3:3">
      <c r="C327" s="111"/>
    </row>
    <row r="328" spans="3:3">
      <c r="C328" s="111"/>
    </row>
    <row r="329" spans="3:3">
      <c r="C329" s="111"/>
    </row>
    <row r="330" spans="3:3">
      <c r="C330" s="111"/>
    </row>
    <row r="331" spans="3:3">
      <c r="C331" s="111"/>
    </row>
    <row r="332" spans="3:3">
      <c r="C332" s="111"/>
    </row>
    <row r="333" spans="3:3">
      <c r="C333" s="111"/>
    </row>
    <row r="334" spans="3:3">
      <c r="C334" s="111"/>
    </row>
    <row r="335" spans="3:3">
      <c r="C335" s="111"/>
    </row>
    <row r="336" spans="3:3">
      <c r="C336" s="111"/>
    </row>
    <row r="337" spans="3:3">
      <c r="C337" s="111"/>
    </row>
    <row r="338" spans="3:3">
      <c r="C338" s="111"/>
    </row>
    <row r="339" spans="3:3">
      <c r="C339" s="111"/>
    </row>
    <row r="340" spans="3:3">
      <c r="C340" s="111"/>
    </row>
    <row r="341" spans="3:3">
      <c r="C341" s="111"/>
    </row>
    <row r="342" spans="3:3">
      <c r="C342" s="111"/>
    </row>
    <row r="343" spans="3:3">
      <c r="C343" s="111"/>
    </row>
    <row r="344" spans="3:3">
      <c r="C344" s="111"/>
    </row>
    <row r="345" spans="3:3">
      <c r="C345" s="111"/>
    </row>
    <row r="346" spans="3:3">
      <c r="C346" s="111"/>
    </row>
    <row r="347" spans="3:3">
      <c r="C347" s="111"/>
    </row>
    <row r="348" spans="3:3">
      <c r="C348" s="111"/>
    </row>
    <row r="349" spans="3:3">
      <c r="C349" s="111"/>
    </row>
    <row r="350" spans="3:3">
      <c r="C350" s="111"/>
    </row>
    <row r="351" spans="3:3">
      <c r="C351" s="111"/>
    </row>
    <row r="352" spans="3:3">
      <c r="C352" s="111"/>
    </row>
    <row r="353" spans="3:3">
      <c r="C353" s="111"/>
    </row>
    <row r="354" spans="3:3">
      <c r="C354" s="111"/>
    </row>
    <row r="355" spans="3:3">
      <c r="C355" s="111"/>
    </row>
    <row r="356" spans="3:3">
      <c r="C356" s="111"/>
    </row>
    <row r="357" spans="3:3">
      <c r="C357" s="111"/>
    </row>
  </sheetData>
  <mergeCells count="1">
    <mergeCell ref="A1:D1"/>
  </mergeCells>
  <conditionalFormatting sqref="A94">
    <cfRule type="expression" dxfId="0" priority="32">
      <formula>AND(SUMPRODUCT(IFERROR(1*(($A$94&amp;"x")=(A94&amp;"x")),0))&gt;1,NOT(ISBLANK(A94)))</formula>
    </cfRule>
  </conditionalFormatting>
  <conditionalFormatting sqref="A95">
    <cfRule type="expression" dxfId="0" priority="31">
      <formula>AND(SUMPRODUCT(IFERROR(1*(($A$95&amp;"x")=(A95&amp;"x")),0))&gt;1,NOT(ISBLANK(A95)))</formula>
    </cfRule>
  </conditionalFormatting>
  <conditionalFormatting sqref="A96">
    <cfRule type="expression" dxfId="0" priority="30">
      <formula>AND(SUMPRODUCT(IFERROR(1*(($A$96&amp;"x")=(A96&amp;"x")),0))&gt;1,NOT(ISBLANK(A96)))</formula>
    </cfRule>
  </conditionalFormatting>
  <conditionalFormatting sqref="A97">
    <cfRule type="expression" dxfId="0" priority="29">
      <formula>AND(SUMPRODUCT(IFERROR(1*(($A$97&amp;"x")=(A97&amp;"x")),0))&gt;1,NOT(ISBLANK(A97)))</formula>
    </cfRule>
  </conditionalFormatting>
  <conditionalFormatting sqref="A98">
    <cfRule type="expression" dxfId="0" priority="28">
      <formula>AND(SUMPRODUCT(IFERROR(1*(($A$98&amp;"x")=(A98&amp;"x")),0))&gt;1,NOT(ISBLANK(A98)))</formula>
    </cfRule>
  </conditionalFormatting>
  <conditionalFormatting sqref="A99">
    <cfRule type="expression" dxfId="0" priority="27">
      <formula>AND(SUMPRODUCT(IFERROR(1*(($A$99&amp;"x")=(A99&amp;"x")),0))&gt;1,NOT(ISBLANK(A99)))</formula>
    </cfRule>
  </conditionalFormatting>
  <conditionalFormatting sqref="A100">
    <cfRule type="expression" dxfId="0" priority="26">
      <formula>AND(SUMPRODUCT(IFERROR(1*(($A$100&amp;"x")=(A100&amp;"x")),0))&gt;1,NOT(ISBLANK(A100)))</formula>
    </cfRule>
  </conditionalFormatting>
  <conditionalFormatting sqref="A101">
    <cfRule type="expression" dxfId="0" priority="25">
      <formula>AND(SUMPRODUCT(IFERROR(1*(($A$101&amp;"x")=(A101&amp;"x")),0))&gt;1,NOT(ISBLANK(A101)))</formula>
    </cfRule>
  </conditionalFormatting>
  <conditionalFormatting sqref="A102">
    <cfRule type="expression" dxfId="0" priority="24">
      <formula>AND(SUMPRODUCT(IFERROR(1*(($A$102&amp;"x")=(A102&amp;"x")),0))&gt;1,NOT(ISBLANK(A102)))</formula>
    </cfRule>
  </conditionalFormatting>
  <conditionalFormatting sqref="A103">
    <cfRule type="expression" dxfId="0" priority="23">
      <formula>AND(SUMPRODUCT(IFERROR(1*(($A$103&amp;"x")=(A103&amp;"x")),0))&gt;1,NOT(ISBLANK(A103)))</formula>
    </cfRule>
  </conditionalFormatting>
  <conditionalFormatting sqref="A104">
    <cfRule type="expression" dxfId="0" priority="22">
      <formula>AND(SUMPRODUCT(IFERROR(1*(($A$104&amp;"x")=(A104&amp;"x")),0))&gt;1,NOT(ISBLANK(A104)))</formula>
    </cfRule>
  </conditionalFormatting>
  <conditionalFormatting sqref="A105">
    <cfRule type="expression" dxfId="0" priority="21">
      <formula>AND(SUMPRODUCT(IFERROR(1*(($A$105&amp;"x")=(A105&amp;"x")),0))&gt;1,NOT(ISBLANK(A105)))</formula>
    </cfRule>
  </conditionalFormatting>
  <conditionalFormatting sqref="A106">
    <cfRule type="expression" dxfId="0" priority="20">
      <formula>AND(SUMPRODUCT(IFERROR(1*(($A$106&amp;"x")=(A106&amp;"x")),0))&gt;1,NOT(ISBLANK(A106)))</formula>
    </cfRule>
  </conditionalFormatting>
  <conditionalFormatting sqref="A107">
    <cfRule type="expression" dxfId="0" priority="19">
      <formula>AND(SUMPRODUCT(IFERROR(1*(($A$107&amp;"x")=(A107&amp;"x")),0))&gt;1,NOT(ISBLANK(A107)))</formula>
    </cfRule>
  </conditionalFormatting>
  <conditionalFormatting sqref="A108">
    <cfRule type="expression" dxfId="0" priority="18">
      <formula>AND(SUMPRODUCT(IFERROR(1*(($A$108&amp;"x")=(A108&amp;"x")),0))&gt;1,NOT(ISBLANK(A108)))</formula>
    </cfRule>
  </conditionalFormatting>
  <conditionalFormatting sqref="A109">
    <cfRule type="expression" dxfId="0" priority="17">
      <formula>AND(SUMPRODUCT(IFERROR(1*(($A$109&amp;"x")=(A109&amp;"x")),0))&gt;1,NOT(ISBLANK(A109)))</formula>
    </cfRule>
  </conditionalFormatting>
  <conditionalFormatting sqref="A110">
    <cfRule type="expression" dxfId="0" priority="16">
      <formula>AND(SUMPRODUCT(IFERROR(1*(($A$110&amp;"x")=(A110&amp;"x")),0))&gt;1,NOT(ISBLANK(A110)))</formula>
    </cfRule>
  </conditionalFormatting>
  <conditionalFormatting sqref="A111">
    <cfRule type="expression" dxfId="0" priority="15">
      <formula>AND(SUMPRODUCT(IFERROR(1*(($A$111&amp;"x")=(A111&amp;"x")),0))&gt;1,NOT(ISBLANK(A111)))</formula>
    </cfRule>
  </conditionalFormatting>
  <conditionalFormatting sqref="A112">
    <cfRule type="expression" dxfId="0" priority="14">
      <formula>AND(SUMPRODUCT(IFERROR(1*(($A$112&amp;"x")=(A112&amp;"x")),0))&gt;1,NOT(ISBLANK(A112)))</formula>
    </cfRule>
  </conditionalFormatting>
  <conditionalFormatting sqref="A113">
    <cfRule type="expression" dxfId="0" priority="13">
      <formula>AND(SUMPRODUCT(IFERROR(1*(($A$113&amp;"x")=(A113&amp;"x")),0))&gt;1,NOT(ISBLANK(A113)))</formula>
    </cfRule>
  </conditionalFormatting>
  <conditionalFormatting sqref="A114">
    <cfRule type="expression" dxfId="0" priority="12">
      <formula>AND(SUMPRODUCT(IFERROR(1*(($A$114&amp;"x")=(A114&amp;"x")),0))&gt;1,NOT(ISBLANK(A114)))</formula>
    </cfRule>
  </conditionalFormatting>
  <conditionalFormatting sqref="A115">
    <cfRule type="expression" dxfId="0" priority="11">
      <formula>AND(SUMPRODUCT(IFERROR(1*(($A$115&amp;"x")=(A115&amp;"x")),0))&gt;1,NOT(ISBLANK(A115)))</formula>
    </cfRule>
  </conditionalFormatting>
  <conditionalFormatting sqref="A116">
    <cfRule type="expression" dxfId="0" priority="10">
      <formula>AND(SUMPRODUCT(IFERROR(1*(($A$116&amp;"x")=(A116&amp;"x")),0))&gt;1,NOT(ISBLANK(A116)))</formula>
    </cfRule>
  </conditionalFormatting>
  <conditionalFormatting sqref="A117">
    <cfRule type="expression" dxfId="0" priority="9">
      <formula>AND(SUMPRODUCT(IFERROR(1*(($A$117&amp;"x")=(A117&amp;"x")),0))&gt;1,NOT(ISBLANK(A117)))</formula>
    </cfRule>
  </conditionalFormatting>
  <conditionalFormatting sqref="A118">
    <cfRule type="expression" dxfId="0" priority="8">
      <formula>AND(SUMPRODUCT(IFERROR(1*(($A$118&amp;"x")=(A118&amp;"x")),0))&gt;1,NOT(ISBLANK(A118)))</formula>
    </cfRule>
  </conditionalFormatting>
  <conditionalFormatting sqref="A119">
    <cfRule type="expression" dxfId="0" priority="7">
      <formula>AND(SUMPRODUCT(IFERROR(1*(($A$119&amp;"x")=(A119&amp;"x")),0))&gt;1,NOT(ISBLANK(A119)))</formula>
    </cfRule>
  </conditionalFormatting>
  <conditionalFormatting sqref="A120">
    <cfRule type="expression" dxfId="0" priority="6">
      <formula>AND(SUMPRODUCT(IFERROR(1*(($A$120&amp;"x")=(A120&amp;"x")),0))&gt;1,NOT(ISBLANK(A120)))</formula>
    </cfRule>
  </conditionalFormatting>
  <conditionalFormatting sqref="A121">
    <cfRule type="expression" dxfId="0" priority="5">
      <formula>AND(SUMPRODUCT(IFERROR(1*(($A$121&amp;"x")=(A121&amp;"x")),0))&gt;1,NOT(ISBLANK(A121)))</formula>
    </cfRule>
  </conditionalFormatting>
  <conditionalFormatting sqref="A122">
    <cfRule type="expression" dxfId="0" priority="4">
      <formula>AND(SUMPRODUCT(IFERROR(1*(($A$122&amp;"x")=(A122&amp;"x")),0))&gt;1,NOT(ISBLANK(A122)))</formula>
    </cfRule>
  </conditionalFormatting>
  <conditionalFormatting sqref="A123">
    <cfRule type="expression" dxfId="0" priority="3">
      <formula>AND(SUMPRODUCT(IFERROR(1*(($A$123&amp;"x")=(A123&amp;"x")),0))&gt;1,NOT(ISBLANK(A123)))</formula>
    </cfRule>
  </conditionalFormatting>
  <conditionalFormatting sqref="A124">
    <cfRule type="expression" dxfId="0" priority="2">
      <formula>AND(SUMPRODUCT(IFERROR(1*(($A$124&amp;"x")=(A124&amp;"x")),0))&gt;1,NOT(ISBLANK(A124)))</formula>
    </cfRule>
  </conditionalFormatting>
  <conditionalFormatting sqref="A125">
    <cfRule type="expression" dxfId="0" priority="1">
      <formula>AND(SUMPRODUCT(IFERROR(1*(($A$125&amp;"x")=(A125&amp;"x")),0))&gt;1,NOT(ISBLANK(A125)))</formula>
    </cfRule>
  </conditionalFormatting>
  <conditionalFormatting sqref="A12:A93">
    <cfRule type="expression" dxfId="0" priority="76">
      <formula>AND(SUMPRODUCT(IFERROR(1*(($A$12:$A$93&amp;"x")=(A12&amp;"x")),0))&gt;1,NOT(ISBLANK(A12)))</formula>
    </cfRule>
  </conditionalFormatting>
  <conditionalFormatting sqref="A126:A177">
    <cfRule type="expression" dxfId="0" priority="101">
      <formula>AND(SUMPRODUCT(IFERROR(1*(($A$126:$A$177&amp;"x")=(A126&amp;"x")),0))&gt;1,NOT(ISBLANK(A126)))</formula>
    </cfRule>
  </conditionalFormatting>
  <conditionalFormatting sqref="C3:C10">
    <cfRule type="iconSet" priority="100">
      <iconSet iconSet="3Symbols">
        <cfvo type="percent" val="0"/>
        <cfvo type="num" val="0" gte="0"/>
        <cfvo type="num" val="500"/>
      </iconSet>
    </cfRule>
  </conditionalFormatting>
  <conditionalFormatting sqref="C12:C93">
    <cfRule type="cellIs" dxfId="1" priority="64" operator="lessThan">
      <formula>200</formula>
    </cfRule>
    <cfRule type="cellIs" dxfId="2" priority="65" operator="between">
      <formula>200</formula>
      <formula>500</formula>
    </cfRule>
    <cfRule type="cellIs" dxfId="3" priority="66" operator="greaterThanOrEqual">
      <formula>500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{26ced88a-d71c-415b-9cac-073ac4aecbf4}</x14:id>
        </ext>
      </extLst>
    </cfRule>
  </conditionalFormatting>
  <conditionalFormatting sqref="C94:C166">
    <cfRule type="cellIs" dxfId="1" priority="77" operator="lessThan">
      <formula>200</formula>
    </cfRule>
    <cfRule type="cellIs" dxfId="2" priority="78" operator="between">
      <formula>200</formula>
      <formula>500</formula>
    </cfRule>
    <cfRule type="cellIs" dxfId="3" priority="79" operator="greaterThanOrEqual">
      <formula>500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{1ad6e08a-1e05-469b-a935-972670cc15ba}</x14:id>
        </ext>
      </extLst>
    </cfRule>
  </conditionalFormatting>
  <conditionalFormatting sqref="C167:C196">
    <cfRule type="cellIs" dxfId="1" priority="85" operator="lessThan">
      <formula>200</formula>
    </cfRule>
    <cfRule type="cellIs" dxfId="2" priority="86" operator="between">
      <formula>200</formula>
      <formula>500</formula>
    </cfRule>
    <cfRule type="cellIs" dxfId="3" priority="87" operator="greaterThanOrEqual">
      <formula>500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{b02d3495-2e8a-4d9f-934c-2489a142b70f}</x14:id>
        </ext>
      </extLst>
    </cfRule>
  </conditionalFormatting>
  <conditionalFormatting sqref="D3:D10">
    <cfRule type="expression" dxfId="4" priority="97">
      <formula>C3&gt;500</formula>
    </cfRule>
    <cfRule type="expression" dxfId="5" priority="98">
      <formula>AND(C3&gt;0,C3&lt;=500)</formula>
    </cfRule>
    <cfRule type="expression" dxfId="6" priority="99">
      <formula>C3&lt;=0</formula>
    </cfRule>
  </conditionalFormatting>
  <conditionalFormatting sqref="D12:D93">
    <cfRule type="containsText" dxfId="7" priority="63" operator="between" text="流拍待定">
      <formula>NOT(ISERROR(SEARCH("流拍待定",D12)))</formula>
    </cfRule>
    <cfRule type="containsText" dxfId="8" priority="68" operator="between" text="【NikoFC】NikoCN Fanclub">
      <formula>NOT(ISERROR(SEARCH("【NikoFC】NikoCN Fanclub",D12)))</formula>
    </cfRule>
    <cfRule type="containsText" dxfId="9" priority="69" operator="between" text="【Miniworld】迷你世界">
      <formula>NOT(ISERROR(SEARCH("【Miniworld】迷你世界",D12)))</formula>
    </cfRule>
    <cfRule type="containsText" dxfId="10" priority="70" operator="between" text="【TV】Team Vitality">
      <formula>NOT(ISERROR(SEARCH("【TV】Team Vitality",D12)))</formula>
    </cfRule>
    <cfRule type="containsText" dxfId="11" priority="71" operator="between" text="【G2】G2‭">
      <formula>NOT(ISERROR(SEARCH("【G2】G2‭",D12)))</formula>
    </cfRule>
    <cfRule type="containsText" dxfId="12" priority="72" operator="between" text="【AWO】逃出生天">
      <formula>NOT(ISERROR(SEARCH("【AWO】逃出生天",D12)))</formula>
    </cfRule>
    <cfRule type="containsText" dxfId="13" priority="73" operator="between" text="【OldH】老H犟嘴">
      <formula>NOT(ISERROR(SEARCH("【OldH】老H犟嘴",D12)))</formula>
    </cfRule>
    <cfRule type="containsText" dxfId="14" priority="74" operator="between" text="【SSR】Superior Super Rare">
      <formula>NOT(ISERROR(SEARCH("【SSR】Superior Super Rare",D12)))</formula>
    </cfRule>
    <cfRule type="containsText" dxfId="15" priority="75" operator="between" text="【CbHz】吃饱喝足就是玩">
      <formula>NOT(ISERROR(SEARCH("【CbHz】吃饱喝足就是玩",D12)))</formula>
    </cfRule>
  </conditionalFormatting>
  <conditionalFormatting sqref="E12:E93">
    <cfRule type="containsText" dxfId="7" priority="81" operator="between" text="流拍待定">
      <formula>NOT(ISERROR(SEARCH("流拍待定",E12)))</formula>
    </cfRule>
    <cfRule type="containsText" dxfId="16" priority="83" operator="between" text="球员已拍定">
      <formula>NOT(ISERROR(SEARCH("球员已拍定",E12)))</formula>
    </cfRule>
    <cfRule type="containsText" dxfId="17" priority="84" operator="between" text="正在竞拍">
      <formula>NOT(ISERROR(SEARCH("正在竞拍",E12)))</formula>
    </cfRule>
  </conditionalFormatting>
  <dataValidations count="2">
    <dataValidation type="whole" operator="between" showErrorMessage="1" errorTitle="出价错误" error="出价范围在0-3000（W）之内" sqref="C12:C18 C19:C66 C67:C93 C94:C212" errorStyle="information">
      <formula1>0</formula1>
      <formula2>3000</formula2>
    </dataValidation>
    <dataValidation type="list" showErrorMessage="1" errorTitle="错误提示" error="请输入下拉列表中的值" sqref="D12:D18 D19:D66 D67:D93 D148:D195">
      <formula1>"【Cbhz】吃饱喝足就是玩,【SSR】Superior Super Rare,【OldH】老H犟嘴,【AWO】逃出生天,【G2】G2‭,【TV】Team Vitality,【Miniworld】迷你世界,【NikoFC】NikoCN Fanclub,流拍待定"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ced88a-d71c-415b-9cac-073ac4aecbf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C12:C93</xm:sqref>
        </x14:conditionalFormatting>
        <x14:conditionalFormatting xmlns:xm="http://schemas.microsoft.com/office/excel/2006/main">
          <x14:cfRule type="dataBar" id="{1ad6e08a-1e05-469b-a935-972670cc15b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C94:C166</xm:sqref>
        </x14:conditionalFormatting>
        <x14:conditionalFormatting xmlns:xm="http://schemas.microsoft.com/office/excel/2006/main">
          <x14:cfRule type="dataBar" id="{b02d3495-2e8a-4d9f-934c-2489a142b70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C167:C196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9" workbookViewId="0">
      <selection activeCell="C2" sqref="C2:C15"/>
    </sheetView>
  </sheetViews>
  <sheetFormatPr defaultColWidth="9" defaultRowHeight="16.5" outlineLevelCol="6"/>
  <cols>
    <col min="1" max="1" width="32.2222222222222" customWidth="1"/>
    <col min="2" max="2" width="35.7777777777778" customWidth="1"/>
    <col min="3" max="3" width="44.7777777777778" customWidth="1"/>
    <col min="4" max="4" width="21.2222222222222" customWidth="1"/>
    <col min="5" max="5" width="19.4444444444444" customWidth="1"/>
    <col min="6" max="6" width="26.2222222222222" customWidth="1"/>
    <col min="7" max="7" width="16.6666666666667" customWidth="1"/>
  </cols>
  <sheetData>
    <row r="1" ht="21" spans="1:7">
      <c r="A1" s="170" t="s">
        <v>218</v>
      </c>
      <c r="B1" s="170" t="s">
        <v>219</v>
      </c>
      <c r="C1" s="170" t="s">
        <v>220</v>
      </c>
      <c r="D1" s="170" t="s">
        <v>221</v>
      </c>
      <c r="E1" s="170" t="s">
        <v>222</v>
      </c>
      <c r="F1" s="170" t="s">
        <v>223</v>
      </c>
      <c r="G1" s="170" t="s">
        <v>224</v>
      </c>
    </row>
    <row r="2" ht="31.5" spans="1:7">
      <c r="A2" s="171" t="s">
        <v>27</v>
      </c>
      <c r="B2" s="171">
        <v>0</v>
      </c>
      <c r="C2" s="172" t="s">
        <v>14</v>
      </c>
      <c r="E2" t="s">
        <v>225</v>
      </c>
      <c r="F2" s="173" t="str" cm="1">
        <f t="array" ref="F2">IFERROR(INDEX(交易历史!C:C,MATCH(1,(交易历史!A:A=A2)*(交易历史!E:E="四次交易")+(交易历史!A:A=A2)*(交易历史!E:E="三次交易")+(交易历史!A:A=A2)*(交易历史!E:E="二次交易")+(交易历史!A:A=A2)*(交易历史!E:E="首次交易"),0)),"")</f>
        <v>【G2】G2‭</v>
      </c>
      <c r="G2" s="173">
        <f>IF(A2&lt;&gt;"",_xlfn.MAXIFS($B$2:$B$200,$A$2:$A$200,A2),"")</f>
        <v>0</v>
      </c>
    </row>
    <row r="3" ht="31.5" spans="1:7">
      <c r="A3" s="171" t="s">
        <v>29</v>
      </c>
      <c r="B3" s="174">
        <v>80</v>
      </c>
      <c r="C3" s="172" t="s">
        <v>8</v>
      </c>
      <c r="E3" t="s">
        <v>225</v>
      </c>
      <c r="F3" s="173" t="str" cm="1">
        <f t="array" ref="F3">IFERROR(INDEX(交易历史!C:C,MATCH(1,(交易历史!A:A=A3)*(交易历史!E:E="四次交易")+(交易历史!A:A=A3)*(交易历史!E:E="三次交易")+(交易历史!A:A=A3)*(交易历史!E:E="二次交易")+(交易历史!A:A=A3)*(交易历史!E:E="首次交易"),0)),"")</f>
        <v>【SSR】Superior Super Rare</v>
      </c>
      <c r="G3" s="173">
        <f t="shared" ref="G3:G34" si="0">IF(A3&lt;&gt;"",_xlfn.MAXIFS($B$2:$B$200,$A$2:$A$200,A3),"")</f>
        <v>80</v>
      </c>
    </row>
    <row r="4" ht="31.5" spans="1:7">
      <c r="A4" s="171" t="s">
        <v>31</v>
      </c>
      <c r="B4" s="171">
        <v>0</v>
      </c>
      <c r="C4" s="172" t="s">
        <v>12</v>
      </c>
      <c r="E4" t="s">
        <v>225</v>
      </c>
      <c r="F4" s="173" t="str" cm="1">
        <f t="array" ref="F4">IFERROR(INDEX(交易历史!C:C,MATCH(1,(交易历史!A:A=A4)*(交易历史!E:E="四次交易")+(交易历史!A:A=A4)*(交易历史!E:E="三次交易")+(交易历史!A:A=A4)*(交易历史!E:E="二次交易")+(交易历史!A:A=A4)*(交易历史!E:E="首次交易"),0)),"")</f>
        <v>【AWO】逃出生天</v>
      </c>
      <c r="G4" s="173">
        <f t="shared" si="0"/>
        <v>0</v>
      </c>
    </row>
    <row r="5" ht="31.5" spans="1:7">
      <c r="A5" s="171" t="s">
        <v>32</v>
      </c>
      <c r="B5" s="171">
        <v>320</v>
      </c>
      <c r="C5" s="172" t="s">
        <v>20</v>
      </c>
      <c r="E5" t="s">
        <v>225</v>
      </c>
      <c r="F5" s="173" t="str" cm="1">
        <f t="array" ref="F5">IFERROR(INDEX(交易历史!C:C,MATCH(1,(交易历史!A:A=A5)*(交易历史!E:E="四次交易")+(交易历史!A:A=A5)*(交易历史!E:E="三次交易")+(交易历史!A:A=A5)*(交易历史!E:E="二次交易")+(交易历史!A:A=A5)*(交易历史!E:E="首次交易"),0)),"")</f>
        <v>【NikoFC】NikoCN Fanclub</v>
      </c>
      <c r="G5" s="173">
        <f t="shared" si="0"/>
        <v>320</v>
      </c>
    </row>
    <row r="6" ht="31.5" spans="1:7">
      <c r="A6" s="171" t="s">
        <v>34</v>
      </c>
      <c r="B6" s="174">
        <v>400</v>
      </c>
      <c r="C6" s="172" t="s">
        <v>8</v>
      </c>
      <c r="E6" t="s">
        <v>225</v>
      </c>
      <c r="F6" s="173" t="str" cm="1">
        <f t="array" ref="F6">IFERROR(INDEX(交易历史!C:C,MATCH(1,(交易历史!A:A=A6)*(交易历史!E:E="四次交易")+(交易历史!A:A=A6)*(交易历史!E:E="三次交易")+(交易历史!A:A=A6)*(交易历史!E:E="二次交易")+(交易历史!A:A=A6)*(交易历史!E:E="首次交易"),0)),"")</f>
        <v>【SSR】Superior Super Rare</v>
      </c>
      <c r="G6" s="173">
        <f t="shared" si="0"/>
        <v>400</v>
      </c>
    </row>
    <row r="7" ht="31.5" spans="1:7">
      <c r="A7" s="171" t="s">
        <v>36</v>
      </c>
      <c r="B7" s="171">
        <v>600</v>
      </c>
      <c r="C7" s="172" t="s">
        <v>16</v>
      </c>
      <c r="E7" t="s">
        <v>225</v>
      </c>
      <c r="F7" s="173" t="str" cm="1">
        <f t="array" ref="F7">IFERROR(INDEX(交易历史!C:C,MATCH(1,(交易历史!A:A=A7)*(交易历史!E:E="四次交易")+(交易历史!A:A=A7)*(交易历史!E:E="三次交易")+(交易历史!A:A=A7)*(交易历史!E:E="二次交易")+(交易历史!A:A=A7)*(交易历史!E:E="首次交易"),0)),"")</f>
        <v>【TV】Team Vitality</v>
      </c>
      <c r="G7" s="173">
        <f t="shared" si="0"/>
        <v>600</v>
      </c>
    </row>
    <row r="8" ht="31.5" spans="1:7">
      <c r="A8" s="171" t="s">
        <v>38</v>
      </c>
      <c r="B8" s="171">
        <v>100</v>
      </c>
      <c r="C8" s="172" t="s">
        <v>20</v>
      </c>
      <c r="E8" t="s">
        <v>225</v>
      </c>
      <c r="F8" s="173" t="str" cm="1">
        <f t="array" ref="F8">IFERROR(INDEX(交易历史!C:C,MATCH(1,(交易历史!A:A=A8)*(交易历史!E:E="四次交易")+(交易历史!A:A=A8)*(交易历史!E:E="三次交易")+(交易历史!A:A=A8)*(交易历史!E:E="二次交易")+(交易历史!A:A=A8)*(交易历史!E:E="首次交易"),0)),"")</f>
        <v>【NikoFC】NikoCN Fanclub</v>
      </c>
      <c r="G8" s="173">
        <f t="shared" si="0"/>
        <v>100</v>
      </c>
    </row>
    <row r="9" ht="31.5" spans="1:7">
      <c r="A9" s="171" t="s">
        <v>40</v>
      </c>
      <c r="B9" s="171">
        <v>80</v>
      </c>
      <c r="C9" s="172" t="s">
        <v>18</v>
      </c>
      <c r="E9" t="s">
        <v>225</v>
      </c>
      <c r="F9" s="173" t="str" cm="1">
        <f t="array" ref="F9">IFERROR(INDEX(交易历史!C:C,MATCH(1,(交易历史!A:A=A9)*(交易历史!E:E="四次交易")+(交易历史!A:A=A9)*(交易历史!E:E="三次交易")+(交易历史!A:A=A9)*(交易历史!E:E="二次交易")+(交易历史!A:A=A9)*(交易历史!E:E="首次交易"),0)),"")</f>
        <v>【Miniworld】迷你世界</v>
      </c>
      <c r="G9" s="173">
        <f t="shared" si="0"/>
        <v>80</v>
      </c>
    </row>
    <row r="10" ht="31.5" spans="1:7">
      <c r="A10" s="171" t="s">
        <v>42</v>
      </c>
      <c r="B10" s="171">
        <v>10</v>
      </c>
      <c r="C10" s="172" t="s">
        <v>16</v>
      </c>
      <c r="E10" t="s">
        <v>225</v>
      </c>
      <c r="F10" s="173" t="str" cm="1">
        <f t="array" ref="F10">IFERROR(INDEX(交易历史!C:C,MATCH(1,(交易历史!A:A=A10)*(交易历史!E:E="四次交易")+(交易历史!A:A=A10)*(交易历史!E:E="三次交易")+(交易历史!A:A=A10)*(交易历史!E:E="二次交易")+(交易历史!A:A=A10)*(交易历史!E:E="首次交易"),0)),"")</f>
        <v>【TV】Team Vitality</v>
      </c>
      <c r="G10" s="173">
        <f t="shared" si="0"/>
        <v>10</v>
      </c>
    </row>
    <row r="11" ht="31.5" spans="1:7">
      <c r="A11" s="171" t="s">
        <v>43</v>
      </c>
      <c r="B11" s="171">
        <v>0</v>
      </c>
      <c r="C11" s="172" t="s">
        <v>6</v>
      </c>
      <c r="E11" t="s">
        <v>225</v>
      </c>
      <c r="F11" s="173" t="str" cm="1">
        <f t="array" ref="F11">IFERROR(INDEX(交易历史!C:C,MATCH(1,(交易历史!A:A=A11)*(交易历史!E:E="四次交易")+(交易历史!A:A=A11)*(交易历史!E:E="三次交易")+(交易历史!A:A=A11)*(交易历史!E:E="二次交易")+(交易历史!A:A=A11)*(交易历史!E:E="首次交易"),0)),"")</f>
        <v>【CbHz】吃饱喝足就是玩</v>
      </c>
      <c r="G11" s="173">
        <f t="shared" si="0"/>
        <v>0</v>
      </c>
    </row>
    <row r="12" ht="31.5" spans="1:7">
      <c r="A12" s="171" t="s">
        <v>45</v>
      </c>
      <c r="B12" s="171">
        <v>20</v>
      </c>
      <c r="C12" s="172" t="s">
        <v>16</v>
      </c>
      <c r="E12" t="s">
        <v>225</v>
      </c>
      <c r="F12" s="173" t="str" cm="1">
        <f t="array" ref="F12">IFERROR(INDEX(交易历史!C:C,MATCH(1,(交易历史!A:A=A12)*(交易历史!E:E="四次交易")+(交易历史!A:A=A12)*(交易历史!E:E="三次交易")+(交易历史!A:A=A12)*(交易历史!E:E="二次交易")+(交易历史!A:A=A12)*(交易历史!E:E="首次交易"),0)),"")</f>
        <v>【TV】Team Vitality</v>
      </c>
      <c r="G12" s="173">
        <f t="shared" si="0"/>
        <v>20</v>
      </c>
    </row>
    <row r="13" ht="31.5" spans="1:7">
      <c r="A13" s="171" t="s">
        <v>46</v>
      </c>
      <c r="B13" s="171">
        <v>10</v>
      </c>
      <c r="C13" s="172" t="s">
        <v>8</v>
      </c>
      <c r="E13" t="s">
        <v>225</v>
      </c>
      <c r="F13" s="173" t="str" cm="1">
        <f t="array" ref="F13">IFERROR(INDEX(交易历史!C:C,MATCH(1,(交易历史!A:A=A13)*(交易历史!E:E="四次交易")+(交易历史!A:A=A13)*(交易历史!E:E="三次交易")+(交易历史!A:A=A13)*(交易历史!E:E="二次交易")+(交易历史!A:A=A13)*(交易历史!E:E="首次交易"),0)),"")</f>
        <v>【SSR】Superior Super Rare</v>
      </c>
      <c r="G13" s="173">
        <f t="shared" si="0"/>
        <v>10</v>
      </c>
    </row>
    <row r="14" ht="31.5" spans="1:7">
      <c r="A14" s="171" t="s">
        <v>48</v>
      </c>
      <c r="B14" s="171">
        <v>660</v>
      </c>
      <c r="C14" s="172" t="s">
        <v>6</v>
      </c>
      <c r="E14" t="s">
        <v>225</v>
      </c>
      <c r="F14" s="173" t="str" cm="1">
        <f t="array" ref="F14">IFERROR(INDEX(交易历史!C:C,MATCH(1,(交易历史!A:A=A14)*(交易历史!E:E="四次交易")+(交易历史!A:A=A14)*(交易历史!E:E="三次交易")+(交易历史!A:A=A14)*(交易历史!E:E="二次交易")+(交易历史!A:A=A14)*(交易历史!E:E="首次交易"),0)),"")</f>
        <v>【CbHz】吃饱喝足就是玩</v>
      </c>
      <c r="G14" s="173">
        <f t="shared" si="0"/>
        <v>660</v>
      </c>
    </row>
    <row r="15" ht="31.5" spans="1:7">
      <c r="A15" s="171" t="s">
        <v>50</v>
      </c>
      <c r="B15" s="171">
        <v>540</v>
      </c>
      <c r="C15" s="172" t="s">
        <v>20</v>
      </c>
      <c r="E15" t="s">
        <v>225</v>
      </c>
      <c r="F15" s="173" t="str" cm="1">
        <f t="array" ref="F15">IFERROR(INDEX(交易历史!C:C,MATCH(1,(交易历史!A:A=A15)*(交易历史!E:E="四次交易")+(交易历史!A:A=A15)*(交易历史!E:E="三次交易")+(交易历史!A:A=A15)*(交易历史!E:E="二次交易")+(交易历史!A:A=A15)*(交易历史!E:E="首次交易"),0)),"")</f>
        <v>【NikoFC】NikoCN Fanclub</v>
      </c>
      <c r="G15" s="173">
        <f t="shared" si="0"/>
        <v>540</v>
      </c>
    </row>
    <row r="16" ht="31.5" spans="1:7">
      <c r="A16" s="171" t="s">
        <v>52</v>
      </c>
      <c r="B16" s="171">
        <v>1000</v>
      </c>
      <c r="C16" s="172" t="s">
        <v>14</v>
      </c>
      <c r="E16" t="s">
        <v>225</v>
      </c>
      <c r="F16" s="173" t="str" cm="1">
        <f t="array" ref="F16">IFERROR(INDEX(交易历史!C:C,MATCH(1,(交易历史!A:A=A16)*(交易历史!E:E="四次交易")+(交易历史!A:A=A16)*(交易历史!E:E="三次交易")+(交易历史!A:A=A16)*(交易历史!E:E="二次交易")+(交易历史!A:A=A16)*(交易历史!E:E="首次交易"),0)),"")</f>
        <v>【G2】G2‭</v>
      </c>
      <c r="G16" s="173">
        <f t="shared" si="0"/>
        <v>1000</v>
      </c>
    </row>
    <row r="17" ht="31.5" spans="1:7">
      <c r="A17" s="171" t="s">
        <v>54</v>
      </c>
      <c r="B17" s="171">
        <v>350</v>
      </c>
      <c r="C17" s="172" t="s">
        <v>18</v>
      </c>
      <c r="E17" t="s">
        <v>225</v>
      </c>
      <c r="F17" s="173" t="str" cm="1">
        <f t="array" ref="F17">IFERROR(INDEX(交易历史!C:C,MATCH(1,(交易历史!A:A=A17)*(交易历史!E:E="四次交易")+(交易历史!A:A=A17)*(交易历史!E:E="三次交易")+(交易历史!A:A=A17)*(交易历史!E:E="二次交易")+(交易历史!A:A=A17)*(交易历史!E:E="首次交易"),0)),"")</f>
        <v>【Miniworld】迷你世界</v>
      </c>
      <c r="G17" s="173">
        <f t="shared" si="0"/>
        <v>350</v>
      </c>
    </row>
    <row r="18" ht="31.5" spans="1:7">
      <c r="A18" s="171" t="s">
        <v>55</v>
      </c>
      <c r="B18" s="171">
        <v>20</v>
      </c>
      <c r="C18" s="172" t="s">
        <v>18</v>
      </c>
      <c r="E18" t="s">
        <v>225</v>
      </c>
      <c r="F18" s="173" t="str" cm="1">
        <f t="array" ref="F18">IFERROR(INDEX(交易历史!C:C,MATCH(1,(交易历史!A:A=A18)*(交易历史!E:E="四次交易")+(交易历史!A:A=A18)*(交易历史!E:E="三次交易")+(交易历史!A:A=A18)*(交易历史!E:E="二次交易")+(交易历史!A:A=A18)*(交易历史!E:E="首次交易"),0)),"")</f>
        <v>【Miniworld】迷你世界</v>
      </c>
      <c r="G18" s="173">
        <f t="shared" si="0"/>
        <v>20</v>
      </c>
    </row>
    <row r="19" ht="31.5" spans="1:7">
      <c r="A19" s="171" t="s">
        <v>57</v>
      </c>
      <c r="B19" s="171">
        <v>0</v>
      </c>
      <c r="C19" s="172" t="s">
        <v>6</v>
      </c>
      <c r="E19" t="s">
        <v>225</v>
      </c>
      <c r="F19" s="173" t="str" cm="1">
        <f t="array" ref="F19">IFERROR(INDEX(交易历史!C:C,MATCH(1,(交易历史!A:A=A19)*(交易历史!E:E="四次交易")+(交易历史!A:A=A19)*(交易历史!E:E="三次交易")+(交易历史!A:A=A19)*(交易历史!E:E="二次交易")+(交易历史!A:A=A19)*(交易历史!E:E="首次交易"),0)),"")</f>
        <v>【CbHz】吃饱喝足就是玩</v>
      </c>
      <c r="G19" s="173">
        <f t="shared" si="0"/>
        <v>0</v>
      </c>
    </row>
    <row r="20" ht="31.5" spans="1:7">
      <c r="A20" s="171" t="s">
        <v>59</v>
      </c>
      <c r="B20" s="171">
        <v>200</v>
      </c>
      <c r="C20" s="172" t="s">
        <v>8</v>
      </c>
      <c r="E20" t="s">
        <v>225</v>
      </c>
      <c r="F20" s="173" t="str" cm="1">
        <f t="array" ref="F20">IFERROR(INDEX(交易历史!C:C,MATCH(1,(交易历史!A:A=A20)*(交易历史!E:E="四次交易")+(交易历史!A:A=A20)*(交易历史!E:E="三次交易")+(交易历史!A:A=A20)*(交易历史!E:E="二次交易")+(交易历史!A:A=A20)*(交易历史!E:E="首次交易"),0)),"")</f>
        <v>【SSR】Superior Super Rare</v>
      </c>
      <c r="G20" s="173">
        <f t="shared" si="0"/>
        <v>200</v>
      </c>
    </row>
    <row r="21" ht="31.5" spans="1:7">
      <c r="A21" s="171" t="s">
        <v>61</v>
      </c>
      <c r="B21" s="171">
        <v>40</v>
      </c>
      <c r="C21" s="172" t="s">
        <v>18</v>
      </c>
      <c r="E21" t="s">
        <v>225</v>
      </c>
      <c r="F21" s="173" t="str" cm="1">
        <f t="array" ref="F21">IFERROR(INDEX(交易历史!C:C,MATCH(1,(交易历史!A:A=A21)*(交易历史!E:E="四次交易")+(交易历史!A:A=A21)*(交易历史!E:E="三次交易")+(交易历史!A:A=A21)*(交易历史!E:E="二次交易")+(交易历史!A:A=A21)*(交易历史!E:E="首次交易"),0)),"")</f>
        <v>【Miniworld】迷你世界</v>
      </c>
      <c r="G21" s="173">
        <f t="shared" si="0"/>
        <v>40</v>
      </c>
    </row>
    <row r="22" ht="31.5" spans="1:7">
      <c r="A22" s="171" t="s">
        <v>63</v>
      </c>
      <c r="B22" s="171">
        <v>10</v>
      </c>
      <c r="C22" s="172" t="s">
        <v>8</v>
      </c>
      <c r="E22" t="s">
        <v>225</v>
      </c>
      <c r="F22" s="173" t="str" cm="1">
        <f t="array" ref="F22">IFERROR(INDEX(交易历史!C:C,MATCH(1,(交易历史!A:A=A22)*(交易历史!E:E="四次交易")+(交易历史!A:A=A22)*(交易历史!E:E="三次交易")+(交易历史!A:A=A22)*(交易历史!E:E="二次交易")+(交易历史!A:A=A22)*(交易历史!E:E="首次交易"),0)),"")</f>
        <v>【SSR】Superior Super Rare</v>
      </c>
      <c r="G22" s="173">
        <f t="shared" si="0"/>
        <v>10</v>
      </c>
    </row>
    <row r="23" ht="31.5" spans="1:7">
      <c r="A23" s="171" t="s">
        <v>65</v>
      </c>
      <c r="B23" s="171">
        <v>20</v>
      </c>
      <c r="C23" s="172" t="s">
        <v>16</v>
      </c>
      <c r="E23" t="s">
        <v>225</v>
      </c>
      <c r="F23" s="173" t="str" cm="1">
        <f t="array" ref="F23">IFERROR(INDEX(交易历史!C:C,MATCH(1,(交易历史!A:A=A23)*(交易历史!E:E="四次交易")+(交易历史!A:A=A23)*(交易历史!E:E="三次交易")+(交易历史!A:A=A23)*(交易历史!E:E="二次交易")+(交易历史!A:A=A23)*(交易历史!E:E="首次交易"),0)),"")</f>
        <v>【TV】Team Vitality</v>
      </c>
      <c r="G23" s="173">
        <f t="shared" si="0"/>
        <v>20</v>
      </c>
    </row>
    <row r="24" ht="31.5" spans="1:7">
      <c r="A24" s="171" t="s">
        <v>67</v>
      </c>
      <c r="B24" s="171">
        <v>50</v>
      </c>
      <c r="C24" s="172" t="s">
        <v>20</v>
      </c>
      <c r="E24" t="s">
        <v>225</v>
      </c>
      <c r="F24" s="173" t="str" cm="1">
        <f t="array" ref="F24">IFERROR(INDEX(交易历史!C:C,MATCH(1,(交易历史!A:A=A24)*(交易历史!E:E="四次交易")+(交易历史!A:A=A24)*(交易历史!E:E="三次交易")+(交易历史!A:A=A24)*(交易历史!E:E="二次交易")+(交易历史!A:A=A24)*(交易历史!E:E="首次交易"),0)),"")</f>
        <v>【NikoFC】NikoCN Fanclub</v>
      </c>
      <c r="G24" s="173">
        <f t="shared" si="0"/>
        <v>50</v>
      </c>
    </row>
    <row r="25" ht="31.5" spans="1:7">
      <c r="A25" s="171" t="s">
        <v>68</v>
      </c>
      <c r="B25" s="171">
        <v>0</v>
      </c>
      <c r="C25" s="172" t="s">
        <v>6</v>
      </c>
      <c r="E25" t="s">
        <v>225</v>
      </c>
      <c r="F25" s="173" t="str" cm="1">
        <f t="array" ref="F25">IFERROR(INDEX(交易历史!C:C,MATCH(1,(交易历史!A:A=A25)*(交易历史!E:E="四次交易")+(交易历史!A:A=A25)*(交易历史!E:E="三次交易")+(交易历史!A:A=A25)*(交易历史!E:E="二次交易")+(交易历史!A:A=A25)*(交易历史!E:E="首次交易"),0)),"")</f>
        <v>【CbHz】吃饱喝足就是玩</v>
      </c>
      <c r="G25" s="173">
        <f t="shared" si="0"/>
        <v>0</v>
      </c>
    </row>
    <row r="26" ht="31.5" spans="1:7">
      <c r="A26" s="171" t="s">
        <v>70</v>
      </c>
      <c r="B26" s="171">
        <v>0</v>
      </c>
      <c r="C26" s="172" t="s">
        <v>14</v>
      </c>
      <c r="E26" t="s">
        <v>225</v>
      </c>
      <c r="F26" s="173" t="str" cm="1">
        <f t="array" ref="F26">IFERROR(INDEX(交易历史!C:C,MATCH(1,(交易历史!A:A=A26)*(交易历史!E:E="四次交易")+(交易历史!A:A=A26)*(交易历史!E:E="三次交易")+(交易历史!A:A=A26)*(交易历史!E:E="二次交易")+(交易历史!A:A=A26)*(交易历史!E:E="首次交易"),0)),"")</f>
        <v>【G2】G2‭</v>
      </c>
      <c r="G26" s="173">
        <f t="shared" si="0"/>
        <v>0</v>
      </c>
    </row>
    <row r="27" ht="31.5" spans="1:7">
      <c r="A27" s="171" t="s">
        <v>71</v>
      </c>
      <c r="B27" s="171">
        <v>60</v>
      </c>
      <c r="C27" s="172" t="s">
        <v>16</v>
      </c>
      <c r="E27" t="s">
        <v>225</v>
      </c>
      <c r="F27" s="173" t="str" cm="1">
        <f t="array" ref="F27">IFERROR(INDEX(交易历史!C:C,MATCH(1,(交易历史!A:A=A27)*(交易历史!E:E="四次交易")+(交易历史!A:A=A27)*(交易历史!E:E="三次交易")+(交易历史!A:A=A27)*(交易历史!E:E="二次交易")+(交易历史!A:A=A27)*(交易历史!E:E="首次交易"),0)),"")</f>
        <v>【TV】Team Vitality</v>
      </c>
      <c r="G27" s="173">
        <f t="shared" si="0"/>
        <v>60</v>
      </c>
    </row>
    <row r="28" ht="63" spans="1:7">
      <c r="A28" s="175" t="s">
        <v>72</v>
      </c>
      <c r="B28" s="171">
        <v>20</v>
      </c>
      <c r="C28" s="172" t="s">
        <v>12</v>
      </c>
      <c r="E28" t="s">
        <v>225</v>
      </c>
      <c r="F28" s="173" t="str" cm="1">
        <f t="array" ref="F28">IFERROR(INDEX(交易历史!C:C,MATCH(1,(交易历史!A:A=A28)*(交易历史!E:E="四次交易")+(交易历史!A:A=A28)*(交易历史!E:E="三次交易")+(交易历史!A:A=A28)*(交易历史!E:E="二次交易")+(交易历史!A:A=A28)*(交易历史!E:E="首次交易"),0)),"")</f>
        <v>【AWO】逃出生天</v>
      </c>
      <c r="G28" s="173">
        <f t="shared" si="0"/>
        <v>20</v>
      </c>
    </row>
    <row r="29" ht="31.5" spans="1:7">
      <c r="A29" s="171" t="s">
        <v>74</v>
      </c>
      <c r="B29" s="171">
        <v>20</v>
      </c>
      <c r="C29" s="172" t="s">
        <v>18</v>
      </c>
      <c r="E29" t="s">
        <v>225</v>
      </c>
      <c r="F29" s="173" t="str" cm="1">
        <f t="array" ref="F29">IFERROR(INDEX(交易历史!C:C,MATCH(1,(交易历史!A:A=A29)*(交易历史!E:E="四次交易")+(交易历史!A:A=A29)*(交易历史!E:E="三次交易")+(交易历史!A:A=A29)*(交易历史!E:E="二次交易")+(交易历史!A:A=A29)*(交易历史!E:E="首次交易"),0)),"")</f>
        <v>【Miniworld】迷你世界</v>
      </c>
      <c r="G29" s="173">
        <f t="shared" si="0"/>
        <v>20</v>
      </c>
    </row>
    <row r="30" ht="31.5" spans="1:7">
      <c r="A30" s="171" t="s">
        <v>75</v>
      </c>
      <c r="B30" s="171">
        <v>350</v>
      </c>
      <c r="C30" s="172" t="s">
        <v>14</v>
      </c>
      <c r="E30" t="s">
        <v>225</v>
      </c>
      <c r="F30" s="173" t="str" cm="1">
        <f t="array" ref="F30">IFERROR(INDEX(交易历史!C:C,MATCH(1,(交易历史!A:A=A30)*(交易历史!E:E="四次交易")+(交易历史!A:A=A30)*(交易历史!E:E="三次交易")+(交易历史!A:A=A30)*(交易历史!E:E="二次交易")+(交易历史!A:A=A30)*(交易历史!E:E="首次交易"),0)),"")</f>
        <v>【G2】G2‭</v>
      </c>
      <c r="G30" s="173">
        <f t="shared" si="0"/>
        <v>350</v>
      </c>
    </row>
    <row r="31" ht="31.5" spans="1:7">
      <c r="A31" s="171" t="s">
        <v>76</v>
      </c>
      <c r="B31" s="171">
        <v>360</v>
      </c>
      <c r="C31" s="172" t="s">
        <v>10</v>
      </c>
      <c r="E31" t="s">
        <v>225</v>
      </c>
      <c r="F31" s="173" t="str" cm="1">
        <f t="array" ref="F31">IFERROR(INDEX(交易历史!C:C,MATCH(1,(交易历史!A:A=A31)*(交易历史!E:E="四次交易")+(交易历史!A:A=A31)*(交易历史!E:E="三次交易")+(交易历史!A:A=A31)*(交易历史!E:E="二次交易")+(交易历史!A:A=A31)*(交易历史!E:E="首次交易"),0)),"")</f>
        <v>【OldH】老H犟嘴</v>
      </c>
      <c r="G31" s="173">
        <f t="shared" si="0"/>
        <v>360</v>
      </c>
    </row>
    <row r="32" ht="31.5" spans="1:7">
      <c r="A32" s="171" t="s">
        <v>78</v>
      </c>
      <c r="B32" s="171">
        <v>800</v>
      </c>
      <c r="C32" s="172" t="s">
        <v>6</v>
      </c>
      <c r="E32" t="s">
        <v>225</v>
      </c>
      <c r="F32" s="173" t="str" cm="1">
        <f t="array" ref="F32">IFERROR(INDEX(交易历史!C:C,MATCH(1,(交易历史!A:A=A32)*(交易历史!E:E="四次交易")+(交易历史!A:A=A32)*(交易历史!E:E="三次交易")+(交易历史!A:A=A32)*(交易历史!E:E="二次交易")+(交易历史!A:A=A32)*(交易历史!E:E="首次交易"),0)),"")</f>
        <v>【CbHz】吃饱喝足就是玩</v>
      </c>
      <c r="G32" s="173">
        <f t="shared" si="0"/>
        <v>800</v>
      </c>
    </row>
    <row r="33" ht="31.5" spans="1:7">
      <c r="A33" s="171" t="s">
        <v>80</v>
      </c>
      <c r="B33" s="171">
        <v>700</v>
      </c>
      <c r="C33" s="172" t="s">
        <v>8</v>
      </c>
      <c r="E33" t="s">
        <v>225</v>
      </c>
      <c r="F33" s="173" t="str" cm="1">
        <f t="array" ref="F33">IFERROR(INDEX(交易历史!C:C,MATCH(1,(交易历史!A:A=A33)*(交易历史!E:E="四次交易")+(交易历史!A:A=A33)*(交易历史!E:E="三次交易")+(交易历史!A:A=A33)*(交易历史!E:E="二次交易")+(交易历史!A:A=A33)*(交易历史!E:E="首次交易"),0)),"")</f>
        <v>【SSR】Superior Super Rare</v>
      </c>
      <c r="G33" s="173">
        <f t="shared" si="0"/>
        <v>700</v>
      </c>
    </row>
    <row r="34" ht="31.5" spans="1:7">
      <c r="A34" s="171" t="s">
        <v>82</v>
      </c>
      <c r="B34" s="171">
        <v>100</v>
      </c>
      <c r="C34" s="172" t="s">
        <v>10</v>
      </c>
      <c r="E34" t="s">
        <v>225</v>
      </c>
      <c r="F34" s="173" t="str" cm="1">
        <f t="array" ref="F34">IFERROR(INDEX(交易历史!C:C,MATCH(1,(交易历史!A:A=A34)*(交易历史!E:E="四次交易")+(交易历史!A:A=A34)*(交易历史!E:E="三次交易")+(交易历史!A:A=A34)*(交易历史!E:E="二次交易")+(交易历史!A:A=A34)*(交易历史!E:E="首次交易"),0)),"")</f>
        <v>【OldH】老H犟嘴</v>
      </c>
      <c r="G34" s="173">
        <f t="shared" si="0"/>
        <v>100</v>
      </c>
    </row>
    <row r="35" ht="31.5" spans="1:7">
      <c r="A35" s="171" t="s">
        <v>84</v>
      </c>
      <c r="B35" s="171">
        <v>60</v>
      </c>
      <c r="C35" s="172" t="s">
        <v>18</v>
      </c>
      <c r="E35" t="s">
        <v>225</v>
      </c>
      <c r="F35" s="173" t="str" cm="1">
        <f t="array" ref="F35">IFERROR(INDEX(交易历史!C:C,MATCH(1,(交易历史!A:A=A35)*(交易历史!E:E="四次交易")+(交易历史!A:A=A35)*(交易历史!E:E="三次交易")+(交易历史!A:A=A35)*(交易历史!E:E="二次交易")+(交易历史!A:A=A35)*(交易历史!E:E="首次交易"),0)),"")</f>
        <v>【Miniworld】迷你世界</v>
      </c>
      <c r="G35" s="173">
        <f t="shared" ref="G35:G66" si="1">IF(A35&lt;&gt;"",_xlfn.MAXIFS($B$2:$B$200,$A$2:$A$200,A35),"")</f>
        <v>60</v>
      </c>
    </row>
    <row r="36" ht="31.5" spans="1:7">
      <c r="A36" s="171" t="s">
        <v>85</v>
      </c>
      <c r="B36" s="171">
        <v>30</v>
      </c>
      <c r="C36" s="172" t="s">
        <v>10</v>
      </c>
      <c r="E36" t="s">
        <v>225</v>
      </c>
      <c r="F36" s="173" t="str" cm="1">
        <f t="array" ref="F36">IFERROR(INDEX(交易历史!C:C,MATCH(1,(交易历史!A:A=A36)*(交易历史!E:E="四次交易")+(交易历史!A:A=A36)*(交易历史!E:E="三次交易")+(交易历史!A:A=A36)*(交易历史!E:E="二次交易")+(交易历史!A:A=A36)*(交易历史!E:E="首次交易"),0)),"")</f>
        <v>【OldH】老H犟嘴</v>
      </c>
      <c r="G36" s="173">
        <f t="shared" si="1"/>
        <v>30</v>
      </c>
    </row>
    <row r="37" ht="31.5" spans="1:7">
      <c r="A37" s="171" t="s">
        <v>87</v>
      </c>
      <c r="B37" s="171">
        <v>30</v>
      </c>
      <c r="C37" s="172" t="s">
        <v>18</v>
      </c>
      <c r="E37" t="s">
        <v>225</v>
      </c>
      <c r="F37" s="173" t="str" cm="1">
        <f t="array" ref="F37">IFERROR(INDEX(交易历史!C:C,MATCH(1,(交易历史!A:A=A37)*(交易历史!E:E="四次交易")+(交易历史!A:A=A37)*(交易历史!E:E="三次交易")+(交易历史!A:A=A37)*(交易历史!E:E="二次交易")+(交易历史!A:A=A37)*(交易历史!E:E="首次交易"),0)),"")</f>
        <v>【Miniworld】迷你世界</v>
      </c>
      <c r="G37" s="173">
        <f t="shared" si="1"/>
        <v>30</v>
      </c>
    </row>
    <row r="38" ht="31.5" spans="1:7">
      <c r="A38" s="171" t="s">
        <v>88</v>
      </c>
      <c r="B38" s="171">
        <v>30</v>
      </c>
      <c r="C38" s="172" t="s">
        <v>20</v>
      </c>
      <c r="E38" t="s">
        <v>225</v>
      </c>
      <c r="F38" s="173" t="str" cm="1">
        <f t="array" ref="F38">IFERROR(INDEX(交易历史!C:C,MATCH(1,(交易历史!A:A=A38)*(交易历史!E:E="四次交易")+(交易历史!A:A=A38)*(交易历史!E:E="三次交易")+(交易历史!A:A=A38)*(交易历史!E:E="二次交易")+(交易历史!A:A=A38)*(交易历史!E:E="首次交易"),0)),"")</f>
        <v>【NikoFC】NikoCN Fanclub</v>
      </c>
      <c r="G38" s="173">
        <f t="shared" si="1"/>
        <v>30</v>
      </c>
    </row>
    <row r="39" ht="31.5" spans="1:7">
      <c r="A39" s="171" t="s">
        <v>89</v>
      </c>
      <c r="B39" s="171">
        <v>10</v>
      </c>
      <c r="C39" s="172" t="s">
        <v>6</v>
      </c>
      <c r="E39" t="s">
        <v>225</v>
      </c>
      <c r="F39" s="173" t="str" cm="1">
        <f t="array" ref="F39">IFERROR(INDEX(交易历史!C:C,MATCH(1,(交易历史!A:A=A39)*(交易历史!E:E="四次交易")+(交易历史!A:A=A39)*(交易历史!E:E="三次交易")+(交易历史!A:A=A39)*(交易历史!E:E="二次交易")+(交易历史!A:A=A39)*(交易历史!E:E="首次交易"),0)),"")</f>
        <v>【CbHz】吃饱喝足就是玩</v>
      </c>
      <c r="G39" s="173">
        <f t="shared" si="1"/>
        <v>10</v>
      </c>
    </row>
    <row r="40" ht="31.5" spans="1:7">
      <c r="A40" s="171" t="s">
        <v>91</v>
      </c>
      <c r="B40" s="171">
        <v>510</v>
      </c>
      <c r="C40" s="172" t="s">
        <v>20</v>
      </c>
      <c r="E40" t="s">
        <v>225</v>
      </c>
      <c r="F40" s="173" t="str" cm="1">
        <f t="array" ref="F40">IFERROR(INDEX(交易历史!C:C,MATCH(1,(交易历史!A:A=A40)*(交易历史!E:E="四次交易")+(交易历史!A:A=A40)*(交易历史!E:E="三次交易")+(交易历史!A:A=A40)*(交易历史!E:E="二次交易")+(交易历史!A:A=A40)*(交易历史!E:E="首次交易"),0)),"")</f>
        <v>【NikoFC】NikoCN Fanclub</v>
      </c>
      <c r="G40" s="173">
        <f t="shared" si="1"/>
        <v>510</v>
      </c>
    </row>
    <row r="41" ht="31.5" spans="1:7">
      <c r="A41" s="171" t="s">
        <v>93</v>
      </c>
      <c r="B41" s="171">
        <v>500</v>
      </c>
      <c r="C41" s="172" t="s">
        <v>6</v>
      </c>
      <c r="E41" t="s">
        <v>225</v>
      </c>
      <c r="F41" s="173" t="str" cm="1">
        <f t="array" ref="F41">IFERROR(INDEX(交易历史!C:C,MATCH(1,(交易历史!A:A=A41)*(交易历史!E:E="四次交易")+(交易历史!A:A=A41)*(交易历史!E:E="三次交易")+(交易历史!A:A=A41)*(交易历史!E:E="二次交易")+(交易历史!A:A=A41)*(交易历史!E:E="首次交易"),0)),"")</f>
        <v>【CbHz】吃饱喝足就是玩</v>
      </c>
      <c r="G41" s="173">
        <f t="shared" si="1"/>
        <v>500</v>
      </c>
    </row>
    <row r="42" ht="31.5" spans="1:7">
      <c r="A42" s="171" t="s">
        <v>95</v>
      </c>
      <c r="B42" s="171">
        <v>0</v>
      </c>
      <c r="C42" s="172" t="s">
        <v>6</v>
      </c>
      <c r="E42" t="s">
        <v>225</v>
      </c>
      <c r="F42" s="173" t="str" cm="1">
        <f t="array" ref="F42">IFERROR(INDEX(交易历史!C:C,MATCH(1,(交易历史!A:A=A42)*(交易历史!E:E="四次交易")+(交易历史!A:A=A42)*(交易历史!E:E="三次交易")+(交易历史!A:A=A42)*(交易历史!E:E="二次交易")+(交易历史!A:A=A42)*(交易历史!E:E="首次交易"),0)),"")</f>
        <v>【CbHz】吃饱喝足就是玩</v>
      </c>
      <c r="G42" s="173">
        <f t="shared" si="1"/>
        <v>0</v>
      </c>
    </row>
    <row r="43" ht="31.5" spans="1:7">
      <c r="A43" s="171" t="s">
        <v>97</v>
      </c>
      <c r="B43" s="171">
        <v>760</v>
      </c>
      <c r="C43" s="172" t="s">
        <v>20</v>
      </c>
      <c r="E43" t="s">
        <v>225</v>
      </c>
      <c r="F43" s="173" t="str" cm="1">
        <f t="array" ref="F43">IFERROR(INDEX(交易历史!C:C,MATCH(1,(交易历史!A:A=A43)*(交易历史!E:E="四次交易")+(交易历史!A:A=A43)*(交易历史!E:E="三次交易")+(交易历史!A:A=A43)*(交易历史!E:E="二次交易")+(交易历史!A:A=A43)*(交易历史!E:E="首次交易"),0)),"")</f>
        <v>【NikoFC】NikoCN Fanclub</v>
      </c>
      <c r="G43" s="173">
        <f t="shared" si="1"/>
        <v>760</v>
      </c>
    </row>
    <row r="44" ht="31.5" spans="1:7">
      <c r="A44" s="171" t="s">
        <v>98</v>
      </c>
      <c r="B44" s="171">
        <v>300</v>
      </c>
      <c r="C44" s="172" t="s">
        <v>18</v>
      </c>
      <c r="E44" t="s">
        <v>225</v>
      </c>
      <c r="F44" s="173" t="str" cm="1">
        <f t="array" ref="F44">IFERROR(INDEX(交易历史!C:C,MATCH(1,(交易历史!A:A=A44)*(交易历史!E:E="四次交易")+(交易历史!A:A=A44)*(交易历史!E:E="三次交易")+(交易历史!A:A=A44)*(交易历史!E:E="二次交易")+(交易历史!A:A=A44)*(交易历史!E:E="首次交易"),0)),"")</f>
        <v>【Miniworld】迷你世界</v>
      </c>
      <c r="G44" s="173">
        <f t="shared" si="1"/>
        <v>300</v>
      </c>
    </row>
    <row r="45" ht="31.5" spans="1:7">
      <c r="A45" s="171" t="s">
        <v>99</v>
      </c>
      <c r="B45" s="171">
        <v>500</v>
      </c>
      <c r="C45" s="172" t="s">
        <v>10</v>
      </c>
      <c r="E45" t="s">
        <v>225</v>
      </c>
      <c r="F45" s="173" t="str" cm="1">
        <f t="array" ref="F45">IFERROR(INDEX(交易历史!C:C,MATCH(1,(交易历史!A:A=A45)*(交易历史!E:E="四次交易")+(交易历史!A:A=A45)*(交易历史!E:E="三次交易")+(交易历史!A:A=A45)*(交易历史!E:E="二次交易")+(交易历史!A:A=A45)*(交易历史!E:E="首次交易"),0)),"")</f>
        <v>【OldH】老H犟嘴</v>
      </c>
      <c r="G45" s="173">
        <f t="shared" si="1"/>
        <v>500</v>
      </c>
    </row>
    <row r="46" ht="31.5" spans="1:7">
      <c r="A46" s="171" t="s">
        <v>101</v>
      </c>
      <c r="B46" s="171">
        <v>130</v>
      </c>
      <c r="C46" s="172" t="s">
        <v>12</v>
      </c>
      <c r="E46" t="s">
        <v>225</v>
      </c>
      <c r="F46" s="173" t="str" cm="1">
        <f t="array" ref="F46">IFERROR(INDEX(交易历史!C:C,MATCH(1,(交易历史!A:A=A46)*(交易历史!E:E="四次交易")+(交易历史!A:A=A46)*(交易历史!E:E="三次交易")+(交易历史!A:A=A46)*(交易历史!E:E="二次交易")+(交易历史!A:A=A46)*(交易历史!E:E="首次交易"),0)),"")</f>
        <v>【AWO】逃出生天</v>
      </c>
      <c r="G46" s="173">
        <f t="shared" si="1"/>
        <v>130</v>
      </c>
    </row>
    <row r="47" ht="31.5" spans="1:7">
      <c r="A47" s="171" t="s">
        <v>102</v>
      </c>
      <c r="B47" s="171">
        <v>250</v>
      </c>
      <c r="C47" s="172" t="s">
        <v>6</v>
      </c>
      <c r="E47" t="s">
        <v>225</v>
      </c>
      <c r="F47" s="173" t="str" cm="1">
        <f t="array" ref="F47">IFERROR(INDEX(交易历史!C:C,MATCH(1,(交易历史!A:A=A47)*(交易历史!E:E="四次交易")+(交易历史!A:A=A47)*(交易历史!E:E="三次交易")+(交易历史!A:A=A47)*(交易历史!E:E="二次交易")+(交易历史!A:A=A47)*(交易历史!E:E="首次交易"),0)),"")</f>
        <v>【CbHz】吃饱喝足就是玩</v>
      </c>
      <c r="G47" s="173">
        <f t="shared" si="1"/>
        <v>250</v>
      </c>
    </row>
    <row r="48" ht="31.5" spans="1:7">
      <c r="A48" s="171" t="s">
        <v>104</v>
      </c>
      <c r="B48" s="171">
        <v>100</v>
      </c>
      <c r="C48" s="172" t="s">
        <v>10</v>
      </c>
      <c r="E48" t="s">
        <v>225</v>
      </c>
      <c r="F48" s="173" t="str" cm="1">
        <f t="array" ref="F48">IFERROR(INDEX(交易历史!C:C,MATCH(1,(交易历史!A:A=A48)*(交易历史!E:E="四次交易")+(交易历史!A:A=A48)*(交易历史!E:E="三次交易")+(交易历史!A:A=A48)*(交易历史!E:E="二次交易")+(交易历史!A:A=A48)*(交易历史!E:E="首次交易"),0)),"")</f>
        <v>【OldH】老H犟嘴</v>
      </c>
      <c r="G48" s="173">
        <f t="shared" si="1"/>
        <v>100</v>
      </c>
    </row>
    <row r="49" ht="31.5" spans="1:7">
      <c r="A49" s="171" t="s">
        <v>105</v>
      </c>
      <c r="B49" s="171">
        <v>40</v>
      </c>
      <c r="C49" s="172" t="s">
        <v>8</v>
      </c>
      <c r="E49" t="s">
        <v>225</v>
      </c>
      <c r="F49" s="173" t="str" cm="1">
        <f t="array" ref="F49">IFERROR(INDEX(交易历史!C:C,MATCH(1,(交易历史!A:A=A49)*(交易历史!E:E="四次交易")+(交易历史!A:A=A49)*(交易历史!E:E="三次交易")+(交易历史!A:A=A49)*(交易历史!E:E="二次交易")+(交易历史!A:A=A49)*(交易历史!E:E="首次交易"),0)),"")</f>
        <v>【SSR】Superior Super Rare</v>
      </c>
      <c r="G49" s="173">
        <f t="shared" si="1"/>
        <v>40</v>
      </c>
    </row>
    <row r="50" ht="31.5" spans="1:7">
      <c r="A50" s="171" t="s">
        <v>107</v>
      </c>
      <c r="B50" s="171">
        <v>10</v>
      </c>
      <c r="C50" s="172" t="s">
        <v>20</v>
      </c>
      <c r="E50" t="s">
        <v>225</v>
      </c>
      <c r="F50" s="173" t="str" cm="1">
        <f t="array" ref="F50">IFERROR(INDEX(交易历史!C:C,MATCH(1,(交易历史!A:A=A50)*(交易历史!E:E="四次交易")+(交易历史!A:A=A50)*(交易历史!E:E="三次交易")+(交易历史!A:A=A50)*(交易历史!E:E="二次交易")+(交易历史!A:A=A50)*(交易历史!E:E="首次交易"),0)),"")</f>
        <v>【NikoFC】NikoCN Fanclub</v>
      </c>
      <c r="G50" s="173">
        <f t="shared" si="1"/>
        <v>10</v>
      </c>
    </row>
    <row r="51" ht="31.5" spans="1:7">
      <c r="A51" s="171" t="s">
        <v>108</v>
      </c>
      <c r="B51" s="171">
        <v>700</v>
      </c>
      <c r="C51" s="172" t="s">
        <v>8</v>
      </c>
      <c r="E51" t="s">
        <v>225</v>
      </c>
      <c r="F51" s="173" t="str" cm="1">
        <f t="array" ref="F51">IFERROR(INDEX(交易历史!C:C,MATCH(1,(交易历史!A:A=A51)*(交易历史!E:E="四次交易")+(交易历史!A:A=A51)*(交易历史!E:E="三次交易")+(交易历史!A:A=A51)*(交易历史!E:E="二次交易")+(交易历史!A:A=A51)*(交易历史!E:E="首次交易"),0)),"")</f>
        <v>【SSR】Superior Super Rare</v>
      </c>
      <c r="G51" s="173">
        <f t="shared" si="1"/>
        <v>700</v>
      </c>
    </row>
    <row r="52" ht="31.5" spans="1:7">
      <c r="A52" s="171" t="s">
        <v>110</v>
      </c>
      <c r="B52" s="171">
        <v>850</v>
      </c>
      <c r="C52" s="172" t="s">
        <v>18</v>
      </c>
      <c r="E52" t="s">
        <v>225</v>
      </c>
      <c r="F52" s="173" t="str" cm="1">
        <f t="array" ref="F52">IFERROR(INDEX(交易历史!C:C,MATCH(1,(交易历史!A:A=A52)*(交易历史!E:E="四次交易")+(交易历史!A:A=A52)*(交易历史!E:E="三次交易")+(交易历史!A:A=A52)*(交易历史!E:E="二次交易")+(交易历史!A:A=A52)*(交易历史!E:E="首次交易"),0)),"")</f>
        <v>【Miniworld】迷你世界</v>
      </c>
      <c r="G52" s="173">
        <f t="shared" si="1"/>
        <v>850</v>
      </c>
    </row>
    <row r="53" ht="31.5" spans="1:7">
      <c r="A53" s="171" t="s">
        <v>111</v>
      </c>
      <c r="B53" s="171">
        <v>80</v>
      </c>
      <c r="C53" s="172" t="s">
        <v>12</v>
      </c>
      <c r="E53" t="s">
        <v>225</v>
      </c>
      <c r="F53" s="173" t="str" cm="1">
        <f t="array" ref="F53">IFERROR(INDEX(交易历史!C:C,MATCH(1,(交易历史!A:A=A53)*(交易历史!E:E="四次交易")+(交易历史!A:A=A53)*(交易历史!E:E="三次交易")+(交易历史!A:A=A53)*(交易历史!E:E="二次交易")+(交易历史!A:A=A53)*(交易历史!E:E="首次交易"),0)),"")</f>
        <v>【AWO】逃出生天</v>
      </c>
      <c r="G53" s="173">
        <f t="shared" si="1"/>
        <v>80</v>
      </c>
    </row>
    <row r="54" ht="31.5" spans="1:7">
      <c r="A54" s="171" t="s">
        <v>113</v>
      </c>
      <c r="B54" s="171">
        <v>0</v>
      </c>
      <c r="C54" s="172" t="s">
        <v>6</v>
      </c>
      <c r="E54" t="s">
        <v>225</v>
      </c>
      <c r="F54" s="173" t="str" cm="1">
        <f t="array" ref="F54">IFERROR(INDEX(交易历史!C:C,MATCH(1,(交易历史!A:A=A54)*(交易历史!E:E="四次交易")+(交易历史!A:A=A54)*(交易历史!E:E="三次交易")+(交易历史!A:A=A54)*(交易历史!E:E="二次交易")+(交易历史!A:A=A54)*(交易历史!E:E="首次交易"),0)),"")</f>
        <v>【CbHz】吃饱喝足就是玩</v>
      </c>
      <c r="G54" s="173">
        <f t="shared" si="1"/>
        <v>0</v>
      </c>
    </row>
    <row r="55" ht="31.5" spans="1:7">
      <c r="A55" s="171" t="s">
        <v>115</v>
      </c>
      <c r="B55" s="171">
        <v>160</v>
      </c>
      <c r="C55" s="172" t="s">
        <v>10</v>
      </c>
      <c r="E55" t="s">
        <v>225</v>
      </c>
      <c r="F55" s="173" t="str" cm="1">
        <f t="array" ref="F55">IFERROR(INDEX(交易历史!C:C,MATCH(1,(交易历史!A:A=A55)*(交易历史!E:E="四次交易")+(交易历史!A:A=A55)*(交易历史!E:E="三次交易")+(交易历史!A:A=A55)*(交易历史!E:E="二次交易")+(交易历史!A:A=A55)*(交易历史!E:E="首次交易"),0)),"")</f>
        <v>【OldH】老H犟嘴</v>
      </c>
      <c r="G55" s="173">
        <f t="shared" si="1"/>
        <v>160</v>
      </c>
    </row>
    <row r="56" ht="31.5" spans="1:7">
      <c r="A56" s="171" t="s">
        <v>116</v>
      </c>
      <c r="B56" s="171">
        <v>410</v>
      </c>
      <c r="C56" s="172" t="s">
        <v>8</v>
      </c>
      <c r="E56" t="s">
        <v>225</v>
      </c>
      <c r="F56" s="173" t="str" cm="1">
        <f t="array" ref="F56">IFERROR(INDEX(交易历史!C:C,MATCH(1,(交易历史!A:A=A56)*(交易历史!E:E="四次交易")+(交易历史!A:A=A56)*(交易历史!E:E="三次交易")+(交易历史!A:A=A56)*(交易历史!E:E="二次交易")+(交易历史!A:A=A56)*(交易历史!E:E="首次交易"),0)),"")</f>
        <v>【SSR】Superior Super Rare</v>
      </c>
      <c r="G56" s="173">
        <f t="shared" si="1"/>
        <v>410</v>
      </c>
    </row>
    <row r="57" ht="31.5" spans="1:7">
      <c r="A57" s="171" t="s">
        <v>118</v>
      </c>
      <c r="B57" s="171">
        <v>190</v>
      </c>
      <c r="C57" s="172" t="s">
        <v>14</v>
      </c>
      <c r="E57" t="s">
        <v>225</v>
      </c>
      <c r="F57" s="173" t="str" cm="1">
        <f t="array" ref="F57">IFERROR(INDEX(交易历史!C:C,MATCH(1,(交易历史!A:A=A57)*(交易历史!E:E="四次交易")+(交易历史!A:A=A57)*(交易历史!E:E="三次交易")+(交易历史!A:A=A57)*(交易历史!E:E="二次交易")+(交易历史!A:A=A57)*(交易历史!E:E="首次交易"),0)),"")</f>
        <v>【G2】G2‭</v>
      </c>
      <c r="G57" s="173">
        <f t="shared" si="1"/>
        <v>190</v>
      </c>
    </row>
    <row r="58" ht="31.5" spans="1:7">
      <c r="A58" s="171" t="s">
        <v>120</v>
      </c>
      <c r="B58" s="171">
        <v>190</v>
      </c>
      <c r="C58" s="172" t="s">
        <v>12</v>
      </c>
      <c r="E58" t="s">
        <v>225</v>
      </c>
      <c r="F58" s="173" t="str" cm="1">
        <f t="array" ref="F58">IFERROR(INDEX(交易历史!C:C,MATCH(1,(交易历史!A:A=A58)*(交易历史!E:E="四次交易")+(交易历史!A:A=A58)*(交易历史!E:E="三次交易")+(交易历史!A:A=A58)*(交易历史!E:E="二次交易")+(交易历史!A:A=A58)*(交易历史!E:E="首次交易"),0)),"")</f>
        <v>【AWO】逃出生天</v>
      </c>
      <c r="G58" s="173">
        <f t="shared" si="1"/>
        <v>190</v>
      </c>
    </row>
    <row r="59" ht="31.5" spans="1:7">
      <c r="A59" s="171" t="s">
        <v>122</v>
      </c>
      <c r="B59" s="171">
        <v>350</v>
      </c>
      <c r="C59" s="172" t="s">
        <v>18</v>
      </c>
      <c r="E59" t="s">
        <v>225</v>
      </c>
      <c r="F59" s="173" t="str" cm="1">
        <f t="array" ref="F59">IFERROR(INDEX(交易历史!C:C,MATCH(1,(交易历史!A:A=A59)*(交易历史!E:E="四次交易")+(交易历史!A:A=A59)*(交易历史!E:E="三次交易")+(交易历史!A:A=A59)*(交易历史!E:E="二次交易")+(交易历史!A:A=A59)*(交易历史!E:E="首次交易"),0)),"")</f>
        <v>【Miniworld】迷你世界</v>
      </c>
      <c r="G59" s="173">
        <f t="shared" si="1"/>
        <v>350</v>
      </c>
    </row>
    <row r="60" ht="31.5" spans="1:7">
      <c r="A60" s="171" t="s">
        <v>124</v>
      </c>
      <c r="B60" s="171">
        <v>1000</v>
      </c>
      <c r="C60" s="172" t="s">
        <v>16</v>
      </c>
      <c r="E60" t="s">
        <v>225</v>
      </c>
      <c r="F60" s="173" t="str" cm="1">
        <f t="array" ref="F60">IFERROR(INDEX(交易历史!C:C,MATCH(1,(交易历史!A:A=A60)*(交易历史!E:E="四次交易")+(交易历史!A:A=A60)*(交易历史!E:E="三次交易")+(交易历史!A:A=A60)*(交易历史!E:E="二次交易")+(交易历史!A:A=A60)*(交易历史!E:E="首次交易"),0)),"")</f>
        <v>【TV】Team Vitality</v>
      </c>
      <c r="G60" s="173">
        <f t="shared" si="1"/>
        <v>1000</v>
      </c>
    </row>
    <row r="61" ht="31.5" spans="1:7">
      <c r="A61" s="171" t="s">
        <v>126</v>
      </c>
      <c r="B61" s="171">
        <v>850</v>
      </c>
      <c r="C61" s="172" t="s">
        <v>12</v>
      </c>
      <c r="E61" t="s">
        <v>225</v>
      </c>
      <c r="F61" s="173" t="str" cm="1">
        <f t="array" ref="F61">IFERROR(INDEX(交易历史!C:C,MATCH(1,(交易历史!A:A=A61)*(交易历史!E:E="四次交易")+(交易历史!A:A=A61)*(交易历史!E:E="三次交易")+(交易历史!A:A=A61)*(交易历史!E:E="二次交易")+(交易历史!A:A=A61)*(交易历史!E:E="首次交易"),0)),"")</f>
        <v>【AWO】逃出生天</v>
      </c>
      <c r="G61" s="173">
        <f t="shared" si="1"/>
        <v>850</v>
      </c>
    </row>
    <row r="62" ht="31.5" spans="1:7">
      <c r="A62" s="171" t="s">
        <v>127</v>
      </c>
      <c r="B62" s="171">
        <v>10</v>
      </c>
      <c r="C62" s="172" t="s">
        <v>16</v>
      </c>
      <c r="E62" t="s">
        <v>225</v>
      </c>
      <c r="F62" s="173" t="str" cm="1">
        <f t="array" ref="F62">IFERROR(INDEX(交易历史!C:C,MATCH(1,(交易历史!A:A=A62)*(交易历史!E:E="四次交易")+(交易历史!A:A=A62)*(交易历史!E:E="三次交易")+(交易历史!A:A=A62)*(交易历史!E:E="二次交易")+(交易历史!A:A=A62)*(交易历史!E:E="首次交易"),0)),"")</f>
        <v>【TV】Team Vitality</v>
      </c>
      <c r="G62" s="173">
        <f t="shared" si="1"/>
        <v>10</v>
      </c>
    </row>
    <row r="63" ht="31.5" spans="1:7">
      <c r="A63" s="171" t="s">
        <v>129</v>
      </c>
      <c r="B63" s="171">
        <v>20</v>
      </c>
      <c r="C63" s="172" t="s">
        <v>16</v>
      </c>
      <c r="E63" t="s">
        <v>225</v>
      </c>
      <c r="F63" s="173" t="str" cm="1">
        <f t="array" ref="F63">IFERROR(INDEX(交易历史!C:C,MATCH(1,(交易历史!A:A=A63)*(交易历史!E:E="四次交易")+(交易历史!A:A=A63)*(交易历史!E:E="三次交易")+(交易历史!A:A=A63)*(交易历史!E:E="二次交易")+(交易历史!A:A=A63)*(交易历史!E:E="首次交易"),0)),"")</f>
        <v>【TV】Team Vitality</v>
      </c>
      <c r="G63" s="173">
        <f t="shared" si="1"/>
        <v>20</v>
      </c>
    </row>
    <row r="64" ht="31.5" spans="1:7">
      <c r="A64" s="171" t="s">
        <v>131</v>
      </c>
      <c r="B64" s="171">
        <v>400</v>
      </c>
      <c r="C64" s="172" t="s">
        <v>14</v>
      </c>
      <c r="E64" t="s">
        <v>225</v>
      </c>
      <c r="F64" s="173" t="str" cm="1">
        <f t="array" ref="F64">IFERROR(INDEX(交易历史!C:C,MATCH(1,(交易历史!A:A=A64)*(交易历史!E:E="四次交易")+(交易历史!A:A=A64)*(交易历史!E:E="三次交易")+(交易历史!A:A=A64)*(交易历史!E:E="二次交易")+(交易历史!A:A=A64)*(交易历史!E:E="首次交易"),0)),"")</f>
        <v>【G2】G2‭</v>
      </c>
      <c r="G64" s="173">
        <f t="shared" si="1"/>
        <v>400</v>
      </c>
    </row>
    <row r="65" ht="31.5" spans="1:7">
      <c r="A65" s="171" t="s">
        <v>133</v>
      </c>
      <c r="B65" s="171">
        <v>90</v>
      </c>
      <c r="C65" s="172" t="s">
        <v>12</v>
      </c>
      <c r="E65" t="s">
        <v>225</v>
      </c>
      <c r="F65" s="173" t="str" cm="1">
        <f t="array" ref="F65">IFERROR(INDEX(交易历史!C:C,MATCH(1,(交易历史!A:A=A65)*(交易历史!E:E="四次交易")+(交易历史!A:A=A65)*(交易历史!E:E="三次交易")+(交易历史!A:A=A65)*(交易历史!E:E="二次交易")+(交易历史!A:A=A65)*(交易历史!E:E="首次交易"),0)),"")</f>
        <v>【AWO】逃出生天</v>
      </c>
      <c r="G65" s="173">
        <f t="shared" si="1"/>
        <v>90</v>
      </c>
    </row>
    <row r="66" ht="31.5" spans="1:7">
      <c r="A66" s="171" t="s">
        <v>135</v>
      </c>
      <c r="B66" s="171">
        <v>90</v>
      </c>
      <c r="C66" s="172" t="s">
        <v>10</v>
      </c>
      <c r="E66" t="s">
        <v>225</v>
      </c>
      <c r="F66" s="173" t="str" cm="1">
        <f t="array" ref="F66">IFERROR(INDEX(交易历史!C:C,MATCH(1,(交易历史!A:A=A66)*(交易历史!E:E="四次交易")+(交易历史!A:A=A66)*(交易历史!E:E="三次交易")+(交易历史!A:A=A66)*(交易历史!E:E="二次交易")+(交易历史!A:A=A66)*(交易历史!E:E="首次交易"),0)),"")</f>
        <v>【OldH】老H犟嘴</v>
      </c>
      <c r="G66" s="173">
        <f t="shared" si="1"/>
        <v>90</v>
      </c>
    </row>
    <row r="67" ht="31.5" spans="1:7">
      <c r="A67" s="171" t="s">
        <v>136</v>
      </c>
      <c r="B67" s="171">
        <v>380</v>
      </c>
      <c r="C67" s="172" t="s">
        <v>10</v>
      </c>
      <c r="E67" t="s">
        <v>225</v>
      </c>
      <c r="F67" s="173" t="str" cm="1">
        <f t="array" ref="F67">IFERROR(INDEX(交易历史!C:C,MATCH(1,(交易历史!A:A=A67)*(交易历史!E:E="四次交易")+(交易历史!A:A=A67)*(交易历史!E:E="三次交易")+(交易历史!A:A=A67)*(交易历史!E:E="二次交易")+(交易历史!A:A=A67)*(交易历史!E:E="首次交易"),0)),"")</f>
        <v>【OldH】老H犟嘴</v>
      </c>
      <c r="G67" s="173">
        <f t="shared" ref="G67:G98" si="2">IF(A67&lt;&gt;"",_xlfn.MAXIFS($B$2:$B$200,$A$2:$A$200,A67),"")</f>
        <v>380</v>
      </c>
    </row>
    <row r="68" ht="31.5" spans="1:7">
      <c r="A68" s="171" t="s">
        <v>137</v>
      </c>
      <c r="B68" s="171">
        <v>120</v>
      </c>
      <c r="C68" s="172" t="s">
        <v>16</v>
      </c>
      <c r="E68" t="s">
        <v>225</v>
      </c>
      <c r="F68" s="173" t="str" cm="1">
        <f t="array" ref="F68">IFERROR(INDEX(交易历史!C:C,MATCH(1,(交易历史!A:A=A68)*(交易历史!E:E="四次交易")+(交易历史!A:A=A68)*(交易历史!E:E="三次交易")+(交易历史!A:A=A68)*(交易历史!E:E="二次交易")+(交易历史!A:A=A68)*(交易历史!E:E="首次交易"),0)),"")</f>
        <v>【TV】Team Vitality</v>
      </c>
      <c r="G68" s="173">
        <f t="shared" si="2"/>
        <v>120</v>
      </c>
    </row>
    <row r="69" ht="31.5" spans="1:7">
      <c r="A69" s="171" t="s">
        <v>138</v>
      </c>
      <c r="B69" s="171">
        <v>140</v>
      </c>
      <c r="C69" s="172" t="s">
        <v>14</v>
      </c>
      <c r="E69" t="s">
        <v>225</v>
      </c>
      <c r="F69" s="173" t="str" cm="1">
        <f t="array" ref="F69">IFERROR(INDEX(交易历史!C:C,MATCH(1,(交易历史!A:A=A69)*(交易历史!E:E="四次交易")+(交易历史!A:A=A69)*(交易历史!E:E="三次交易")+(交易历史!A:A=A69)*(交易历史!E:E="二次交易")+(交易历史!A:A=A69)*(交易历史!E:E="首次交易"),0)),"")</f>
        <v>【G2】G2‭</v>
      </c>
      <c r="G69" s="173">
        <f t="shared" si="2"/>
        <v>140</v>
      </c>
    </row>
    <row r="70" ht="31.5" spans="1:7">
      <c r="A70" s="171" t="s">
        <v>139</v>
      </c>
      <c r="B70" s="171">
        <v>10</v>
      </c>
      <c r="C70" s="172" t="s">
        <v>6</v>
      </c>
      <c r="E70" t="s">
        <v>225</v>
      </c>
      <c r="F70" s="173" t="str" cm="1">
        <f t="array" ref="F70">IFERROR(INDEX(交易历史!C:C,MATCH(1,(交易历史!A:A=A70)*(交易历史!E:E="四次交易")+(交易历史!A:A=A70)*(交易历史!E:E="三次交易")+(交易历史!A:A=A70)*(交易历史!E:E="二次交易")+(交易历史!A:A=A70)*(交易历史!E:E="首次交易"),0)),"")</f>
        <v>【CbHz】吃饱喝足就是玩</v>
      </c>
      <c r="G70" s="173">
        <f t="shared" si="2"/>
        <v>10</v>
      </c>
    </row>
    <row r="71" ht="31.5" spans="1:7">
      <c r="A71" s="171" t="s">
        <v>141</v>
      </c>
      <c r="B71" s="171">
        <v>120</v>
      </c>
      <c r="C71" s="172" t="s">
        <v>16</v>
      </c>
      <c r="E71" t="s">
        <v>225</v>
      </c>
      <c r="F71" s="173" t="str" cm="1">
        <f t="array" ref="F71">IFERROR(INDEX(交易历史!C:C,MATCH(1,(交易历史!A:A=A71)*(交易历史!E:E="四次交易")+(交易历史!A:A=A71)*(交易历史!E:E="三次交易")+(交易历史!A:A=A71)*(交易历史!E:E="二次交易")+(交易历史!A:A=A71)*(交易历史!E:E="首次交易"),0)),"")</f>
        <v>【TV】Team Vitality</v>
      </c>
      <c r="G71" s="173">
        <f t="shared" si="2"/>
        <v>120</v>
      </c>
    </row>
    <row r="72" ht="31.5" spans="1:7">
      <c r="A72" s="171" t="s">
        <v>143</v>
      </c>
      <c r="B72" s="171">
        <v>150</v>
      </c>
      <c r="C72" s="172" t="s">
        <v>10</v>
      </c>
      <c r="E72" t="s">
        <v>225</v>
      </c>
      <c r="F72" s="173" t="str" cm="1">
        <f t="array" ref="F72">IFERROR(INDEX(交易历史!C:C,MATCH(1,(交易历史!A:A=A72)*(交易历史!E:E="四次交易")+(交易历史!A:A=A72)*(交易历史!E:E="三次交易")+(交易历史!A:A=A72)*(交易历史!E:E="二次交易")+(交易历史!A:A=A72)*(交易历史!E:E="首次交易"),0)),"")</f>
        <v>【OldH】老H犟嘴</v>
      </c>
      <c r="G72" s="173">
        <f t="shared" si="2"/>
        <v>150</v>
      </c>
    </row>
    <row r="73" ht="31.5" spans="1:7">
      <c r="A73" s="171" t="s">
        <v>145</v>
      </c>
      <c r="B73" s="171">
        <v>100</v>
      </c>
      <c r="C73" s="172" t="s">
        <v>10</v>
      </c>
      <c r="E73" t="s">
        <v>225</v>
      </c>
      <c r="F73" s="173" t="str" cm="1">
        <f t="array" ref="F73">IFERROR(INDEX(交易历史!C:C,MATCH(1,(交易历史!A:A=A73)*(交易历史!E:E="四次交易")+(交易历史!A:A=A73)*(交易历史!E:E="三次交易")+(交易历史!A:A=A73)*(交易历史!E:E="二次交易")+(交易历史!A:A=A73)*(交易历史!E:E="首次交易"),0)),"")</f>
        <v>【OldH】老H犟嘴</v>
      </c>
      <c r="G73" s="173">
        <f t="shared" si="2"/>
        <v>100</v>
      </c>
    </row>
    <row r="74" ht="31.5" spans="1:7">
      <c r="A74" s="171" t="s">
        <v>147</v>
      </c>
      <c r="B74" s="172">
        <v>210</v>
      </c>
      <c r="C74" s="172" t="s">
        <v>12</v>
      </c>
      <c r="E74" t="s">
        <v>225</v>
      </c>
      <c r="F74" s="173" t="str" cm="1">
        <f t="array" ref="F74">IFERROR(INDEX(交易历史!C:C,MATCH(1,(交易历史!A:A=A74)*(交易历史!E:E="四次交易")+(交易历史!A:A=A74)*(交易历史!E:E="三次交易")+(交易历史!A:A=A74)*(交易历史!E:E="二次交易")+(交易历史!A:A=A74)*(交易历史!E:E="首次交易"),0)),"")</f>
        <v>【AWO】逃出生天</v>
      </c>
      <c r="G74" s="173">
        <f t="shared" si="2"/>
        <v>210</v>
      </c>
    </row>
    <row r="75" ht="31.5" spans="1:7">
      <c r="A75" s="171" t="s">
        <v>149</v>
      </c>
      <c r="B75" s="172">
        <v>0</v>
      </c>
      <c r="C75" s="172" t="s">
        <v>12</v>
      </c>
      <c r="E75" t="s">
        <v>225</v>
      </c>
      <c r="F75" s="173" t="str" cm="1">
        <f t="array" ref="F75">IFERROR(INDEX(交易历史!C:C,MATCH(1,(交易历史!A:A=A75)*(交易历史!E:E="四次交易")+(交易历史!A:A=A75)*(交易历史!E:E="三次交易")+(交易历史!A:A=A75)*(交易历史!E:E="二次交易")+(交易历史!A:A=A75)*(交易历史!E:E="首次交易"),0)),"")</f>
        <v>【AWO】逃出生天</v>
      </c>
      <c r="G75" s="173">
        <f t="shared" si="2"/>
        <v>0</v>
      </c>
    </row>
    <row r="76" ht="31.5" spans="1:7">
      <c r="A76" s="171" t="s">
        <v>150</v>
      </c>
      <c r="B76" s="172">
        <v>0</v>
      </c>
      <c r="C76" s="172" t="s">
        <v>14</v>
      </c>
      <c r="E76" t="s">
        <v>225</v>
      </c>
      <c r="F76" s="173" t="str" cm="1">
        <f t="array" ref="F76">IFERROR(INDEX(交易历史!C:C,MATCH(1,(交易历史!A:A=A76)*(交易历史!E:E="四次交易")+(交易历史!A:A=A76)*(交易历史!E:E="三次交易")+(交易历史!A:A=A76)*(交易历史!E:E="二次交易")+(交易历史!A:A=A76)*(交易历史!E:E="首次交易"),0)),"")</f>
        <v>【G2】G2‭</v>
      </c>
      <c r="G76" s="173">
        <f t="shared" si="2"/>
        <v>0</v>
      </c>
    </row>
    <row r="77" ht="31.5" spans="1:7">
      <c r="A77" s="171" t="s">
        <v>152</v>
      </c>
      <c r="B77" s="172">
        <v>130</v>
      </c>
      <c r="C77" s="172" t="s">
        <v>16</v>
      </c>
      <c r="E77" t="s">
        <v>225</v>
      </c>
      <c r="F77" s="173" t="str" cm="1">
        <f t="array" ref="F77">IFERROR(INDEX(交易历史!C:C,MATCH(1,(交易历史!A:A=A77)*(交易历史!E:E="四次交易")+(交易历史!A:A=A77)*(交易历史!E:E="三次交易")+(交易历史!A:A=A77)*(交易历史!E:E="二次交易")+(交易历史!A:A=A77)*(交易历史!E:E="首次交易"),0)),"")</f>
        <v>【TV】Team Vitality</v>
      </c>
      <c r="G77" s="173">
        <f t="shared" si="2"/>
        <v>130</v>
      </c>
    </row>
    <row r="78" ht="31.5" spans="1:7">
      <c r="A78" s="171" t="s">
        <v>153</v>
      </c>
      <c r="B78" s="172">
        <v>10</v>
      </c>
      <c r="C78" s="172" t="s">
        <v>20</v>
      </c>
      <c r="E78" t="s">
        <v>225</v>
      </c>
      <c r="F78" s="173" t="str" cm="1">
        <f t="array" ref="F78">IFERROR(INDEX(交易历史!C:C,MATCH(1,(交易历史!A:A=A78)*(交易历史!E:E="四次交易")+(交易历史!A:A=A78)*(交易历史!E:E="三次交易")+(交易历史!A:A=A78)*(交易历史!E:E="二次交易")+(交易历史!A:A=A78)*(交易历史!E:E="首次交易"),0)),"")</f>
        <v>【NikoFC】NikoCN Fanclub</v>
      </c>
      <c r="G78" s="173">
        <f t="shared" si="2"/>
        <v>10</v>
      </c>
    </row>
    <row r="79" ht="31.5" spans="1:7">
      <c r="A79" s="171" t="s">
        <v>155</v>
      </c>
      <c r="B79" s="172">
        <v>10</v>
      </c>
      <c r="C79" s="172" t="s">
        <v>14</v>
      </c>
      <c r="E79" t="s">
        <v>225</v>
      </c>
      <c r="F79" s="173" t="str" cm="1">
        <f t="array" ref="F79">IFERROR(INDEX(交易历史!C:C,MATCH(1,(交易历史!A:A=A79)*(交易历史!E:E="四次交易")+(交易历史!A:A=A79)*(交易历史!E:E="三次交易")+(交易历史!A:A=A79)*(交易历史!E:E="二次交易")+(交易历史!A:A=A79)*(交易历史!E:E="首次交易"),0)),"")</f>
        <v>【G2】G2‭</v>
      </c>
      <c r="G79" s="173">
        <f t="shared" si="2"/>
        <v>10</v>
      </c>
    </row>
    <row r="80" ht="31.5" spans="1:7">
      <c r="A80" s="171" t="s">
        <v>157</v>
      </c>
      <c r="B80" s="172">
        <v>10</v>
      </c>
      <c r="C80" s="172" t="s">
        <v>20</v>
      </c>
      <c r="E80" t="s">
        <v>225</v>
      </c>
      <c r="F80" s="173" t="str" cm="1">
        <f t="array" ref="F80">IFERROR(INDEX(交易历史!C:C,MATCH(1,(交易历史!A:A=A80)*(交易历史!E:E="四次交易")+(交易历史!A:A=A80)*(交易历史!E:E="三次交易")+(交易历史!A:A=A80)*(交易历史!E:E="二次交易")+(交易历史!A:A=A80)*(交易历史!E:E="首次交易"),0)),"")</f>
        <v>【NikoFC】NikoCN Fanclub</v>
      </c>
      <c r="G80" s="173">
        <f t="shared" si="2"/>
        <v>10</v>
      </c>
    </row>
    <row r="81" ht="31.5" spans="1:7">
      <c r="A81" s="171" t="s">
        <v>158</v>
      </c>
      <c r="B81" s="172">
        <v>0</v>
      </c>
      <c r="C81" s="172" t="s">
        <v>14</v>
      </c>
      <c r="E81" t="s">
        <v>225</v>
      </c>
      <c r="F81" s="173" t="str" cm="1">
        <f t="array" ref="F81">IFERROR(INDEX(交易历史!C:C,MATCH(1,(交易历史!A:A=A81)*(交易历史!E:E="四次交易")+(交易历史!A:A=A81)*(交易历史!E:E="三次交易")+(交易历史!A:A=A81)*(交易历史!E:E="二次交易")+(交易历史!A:A=A81)*(交易历史!E:E="首次交易"),0)),"")</f>
        <v>【G2】G2‭</v>
      </c>
      <c r="G81" s="173">
        <f t="shared" si="2"/>
        <v>0</v>
      </c>
    </row>
    <row r="82" ht="31.5" spans="1:7">
      <c r="A82" s="171" t="s">
        <v>159</v>
      </c>
      <c r="B82" s="172">
        <v>20</v>
      </c>
      <c r="C82" s="172" t="s">
        <v>14</v>
      </c>
      <c r="E82" t="s">
        <v>225</v>
      </c>
      <c r="F82" s="173" t="str" cm="1">
        <f t="array" ref="F82">IFERROR(INDEX(交易历史!C:C,MATCH(1,(交易历史!A:A=A82)*(交易历史!E:E="四次交易")+(交易历史!A:A=A82)*(交易历史!E:E="三次交易")+(交易历史!A:A=A82)*(交易历史!E:E="二次交易")+(交易历史!A:A=A82)*(交易历史!E:E="首次交易"),0)),"")</f>
        <v>【G2】G2‭</v>
      </c>
      <c r="G82" s="173">
        <f t="shared" si="2"/>
        <v>20</v>
      </c>
    </row>
    <row r="83" ht="31.5" spans="1:7">
      <c r="A83" s="171" t="s">
        <v>161</v>
      </c>
      <c r="B83" s="172">
        <v>100</v>
      </c>
      <c r="C83" s="172" t="s">
        <v>10</v>
      </c>
      <c r="E83" t="s">
        <v>225</v>
      </c>
      <c r="F83" s="173" t="str" cm="1">
        <f t="array" ref="F83">IFERROR(INDEX(交易历史!C:C,MATCH(1,(交易历史!A:A=A83)*(交易历史!E:E="四次交易")+(交易历史!A:A=A83)*(交易历史!E:E="三次交易")+(交易历史!A:A=A83)*(交易历史!E:E="二次交易")+(交易历史!A:A=A83)*(交易历史!E:E="首次交易"),0)),"")</f>
        <v>【OldH】老H犟嘴</v>
      </c>
      <c r="G83" s="173">
        <f t="shared" si="2"/>
        <v>100</v>
      </c>
    </row>
    <row r="84" ht="31.5" spans="1:7">
      <c r="A84" s="171" t="s">
        <v>163</v>
      </c>
      <c r="B84" s="111"/>
      <c r="C84" s="176"/>
      <c r="E84" t="s">
        <v>225</v>
      </c>
      <c r="F84" s="173" cm="1">
        <f t="array" ref="F84">IFERROR(INDEX(交易历史!C:C,MATCH(1,(交易历史!A:A=A84)*(交易历史!E:E="四次交易")+(交易历史!A:A=A84)*(交易历史!E:E="三次交易")+(交易历史!A:A=A84)*(交易历史!E:E="二次交易")+(交易历史!A:A=A84)*(交易历史!E:E="首次交易"),0)),"")</f>
        <v>0</v>
      </c>
      <c r="G84" s="173">
        <f t="shared" si="2"/>
        <v>0</v>
      </c>
    </row>
    <row r="85" ht="31.5" spans="1:7">
      <c r="A85" s="171" t="s">
        <v>165</v>
      </c>
      <c r="B85" s="111"/>
      <c r="C85" s="176"/>
      <c r="E85" t="s">
        <v>225</v>
      </c>
      <c r="F85" s="173" cm="1">
        <f t="array" ref="F85">IFERROR(INDEX(交易历史!C:C,MATCH(1,(交易历史!A:A=A85)*(交易历史!E:E="四次交易")+(交易历史!A:A=A85)*(交易历史!E:E="三次交易")+(交易历史!A:A=A85)*(交易历史!E:E="二次交易")+(交易历史!A:A=A85)*(交易历史!E:E="首次交易"),0)),"")</f>
        <v>0</v>
      </c>
      <c r="G85" s="173">
        <f t="shared" si="2"/>
        <v>0</v>
      </c>
    </row>
    <row r="86" ht="31.5" spans="1:7">
      <c r="A86" s="171" t="s">
        <v>166</v>
      </c>
      <c r="B86" s="111"/>
      <c r="C86" s="176"/>
      <c r="E86" t="s">
        <v>225</v>
      </c>
      <c r="F86" s="173" cm="1">
        <f t="array" ref="F86">IFERROR(INDEX(交易历史!C:C,MATCH(1,(交易历史!A:A=A86)*(交易历史!E:E="四次交易")+(交易历史!A:A=A86)*(交易历史!E:E="三次交易")+(交易历史!A:A=A86)*(交易历史!E:E="二次交易")+(交易历史!A:A=A86)*(交易历史!E:E="首次交易"),0)),"")</f>
        <v>0</v>
      </c>
      <c r="G86" s="173">
        <f t="shared" si="2"/>
        <v>0</v>
      </c>
    </row>
    <row r="87" ht="31.5" spans="1:7">
      <c r="A87" s="171" t="s">
        <v>168</v>
      </c>
      <c r="B87" s="111"/>
      <c r="C87" s="176"/>
      <c r="E87" t="s">
        <v>225</v>
      </c>
      <c r="F87" s="173" cm="1">
        <f t="array" ref="F87">IFERROR(INDEX(交易历史!C:C,MATCH(1,(交易历史!A:A=A87)*(交易历史!E:E="四次交易")+(交易历史!A:A=A87)*(交易历史!E:E="三次交易")+(交易历史!A:A=A87)*(交易历史!E:E="二次交易")+(交易历史!A:A=A87)*(交易历史!E:E="首次交易"),0)),"")</f>
        <v>0</v>
      </c>
      <c r="G87" s="173">
        <f t="shared" si="2"/>
        <v>0</v>
      </c>
    </row>
    <row r="88" ht="31.5" spans="1:7">
      <c r="A88" s="171" t="s">
        <v>169</v>
      </c>
      <c r="B88" s="111"/>
      <c r="C88" s="176"/>
      <c r="E88" t="s">
        <v>225</v>
      </c>
      <c r="F88" s="173" cm="1">
        <f t="array" ref="F88">IFERROR(INDEX(交易历史!C:C,MATCH(1,(交易历史!A:A=A88)*(交易历史!E:E="四次交易")+(交易历史!A:A=A88)*(交易历史!E:E="三次交易")+(交易历史!A:A=A88)*(交易历史!E:E="二次交易")+(交易历史!A:A=A88)*(交易历史!E:E="首次交易"),0)),"")</f>
        <v>0</v>
      </c>
      <c r="G88" s="173">
        <f t="shared" si="2"/>
        <v>0</v>
      </c>
    </row>
    <row r="89" ht="31.5" spans="1:7">
      <c r="A89" s="171" t="s">
        <v>171</v>
      </c>
      <c r="B89" s="111"/>
      <c r="C89" s="176"/>
      <c r="E89" t="s">
        <v>225</v>
      </c>
      <c r="F89" s="173" cm="1">
        <f t="array" ref="F89">IFERROR(INDEX(交易历史!C:C,MATCH(1,(交易历史!A:A=A89)*(交易历史!E:E="四次交易")+(交易历史!A:A=A89)*(交易历史!E:E="三次交易")+(交易历史!A:A=A89)*(交易历史!E:E="二次交易")+(交易历史!A:A=A89)*(交易历史!E:E="首次交易"),0)),"")</f>
        <v>0</v>
      </c>
      <c r="G89" s="173">
        <f t="shared" si="2"/>
        <v>0</v>
      </c>
    </row>
    <row r="90" ht="31.5" spans="1:7">
      <c r="A90" s="171" t="s">
        <v>173</v>
      </c>
      <c r="B90" s="111"/>
      <c r="C90" s="176"/>
      <c r="E90" t="s">
        <v>225</v>
      </c>
      <c r="F90" s="173" cm="1">
        <f t="array" ref="F90">IFERROR(INDEX(交易历史!C:C,MATCH(1,(交易历史!A:A=A90)*(交易历史!E:E="四次交易")+(交易历史!A:A=A90)*(交易历史!E:E="三次交易")+(交易历史!A:A=A90)*(交易历史!E:E="二次交易")+(交易历史!A:A=A90)*(交易历史!E:E="首次交易"),0)),"")</f>
        <v>0</v>
      </c>
      <c r="G90" s="173">
        <f t="shared" si="2"/>
        <v>0</v>
      </c>
    </row>
    <row r="91" ht="31.5" spans="1:7">
      <c r="A91" s="171" t="s">
        <v>174</v>
      </c>
      <c r="B91" s="111"/>
      <c r="C91" s="176"/>
      <c r="E91" t="s">
        <v>225</v>
      </c>
      <c r="F91" s="173" cm="1">
        <f t="array" ref="F91">IFERROR(INDEX(交易历史!C:C,MATCH(1,(交易历史!A:A=A91)*(交易历史!E:E="四次交易")+(交易历史!A:A=A91)*(交易历史!E:E="三次交易")+(交易历史!A:A=A91)*(交易历史!E:E="二次交易")+(交易历史!A:A=A91)*(交易历史!E:E="首次交易"),0)),"")</f>
        <v>0</v>
      </c>
      <c r="G91" s="173">
        <f t="shared" si="2"/>
        <v>0</v>
      </c>
    </row>
    <row r="92" ht="31.5" spans="1:7">
      <c r="A92" s="171" t="s">
        <v>176</v>
      </c>
      <c r="B92" s="111"/>
      <c r="C92" s="176"/>
      <c r="E92" t="s">
        <v>225</v>
      </c>
      <c r="F92" s="173" cm="1">
        <f t="array" ref="F92">IFERROR(INDEX(交易历史!C:C,MATCH(1,(交易历史!A:A=A92)*(交易历史!E:E="四次交易")+(交易历史!A:A=A92)*(交易历史!E:E="三次交易")+(交易历史!A:A=A92)*(交易历史!E:E="二次交易")+(交易历史!A:A=A92)*(交易历史!E:E="首次交易"),0)),"")</f>
        <v>0</v>
      </c>
      <c r="G92" s="173">
        <f t="shared" si="2"/>
        <v>0</v>
      </c>
    </row>
    <row r="93" ht="31.5" spans="1:7">
      <c r="A93" s="171" t="s">
        <v>178</v>
      </c>
      <c r="B93" s="111"/>
      <c r="C93" s="176"/>
      <c r="E93" t="s">
        <v>225</v>
      </c>
      <c r="F93" s="173" cm="1">
        <f t="array" ref="F93">IFERROR(INDEX(交易历史!C:C,MATCH(1,(交易历史!A:A=A93)*(交易历史!E:E="四次交易")+(交易历史!A:A=A93)*(交易历史!E:E="三次交易")+(交易历史!A:A=A93)*(交易历史!E:E="二次交易")+(交易历史!A:A=A93)*(交易历史!E:E="首次交易"),0)),"")</f>
        <v>0</v>
      </c>
      <c r="G93" s="173">
        <f t="shared" si="2"/>
        <v>0</v>
      </c>
    </row>
    <row r="94" ht="31.5" spans="1:7">
      <c r="A94" s="171" t="s">
        <v>180</v>
      </c>
      <c r="B94" s="111"/>
      <c r="C94" s="176"/>
      <c r="E94" t="s">
        <v>225</v>
      </c>
      <c r="F94" s="173" cm="1">
        <f t="array" ref="F94">IFERROR(INDEX(交易历史!C:C,MATCH(1,(交易历史!A:A=A94)*(交易历史!E:E="四次交易")+(交易历史!A:A=A94)*(交易历史!E:E="三次交易")+(交易历史!A:A=A94)*(交易历史!E:E="二次交易")+(交易历史!A:A=A94)*(交易历史!E:E="首次交易"),0)),"")</f>
        <v>0</v>
      </c>
      <c r="G94" s="173">
        <f t="shared" si="2"/>
        <v>0</v>
      </c>
    </row>
    <row r="95" ht="31.5" spans="1:7">
      <c r="A95" s="171" t="s">
        <v>182</v>
      </c>
      <c r="B95" s="111"/>
      <c r="C95" s="176"/>
      <c r="E95" t="s">
        <v>225</v>
      </c>
      <c r="F95" s="173" cm="1">
        <f t="array" ref="F95">IFERROR(INDEX(交易历史!C:C,MATCH(1,(交易历史!A:A=A95)*(交易历史!E:E="四次交易")+(交易历史!A:A=A95)*(交易历史!E:E="三次交易")+(交易历史!A:A=A95)*(交易历史!E:E="二次交易")+(交易历史!A:A=A95)*(交易历史!E:E="首次交易"),0)),"")</f>
        <v>0</v>
      </c>
      <c r="G95" s="173">
        <f t="shared" si="2"/>
        <v>0</v>
      </c>
    </row>
    <row r="96" ht="31.5" spans="1:7">
      <c r="A96" s="171" t="s">
        <v>184</v>
      </c>
      <c r="B96" s="111"/>
      <c r="C96" s="176"/>
      <c r="E96" t="s">
        <v>225</v>
      </c>
      <c r="F96" s="173" cm="1">
        <f t="array" ref="F96">IFERROR(INDEX(交易历史!C:C,MATCH(1,(交易历史!A:A=A96)*(交易历史!E:E="四次交易")+(交易历史!A:A=A96)*(交易历史!E:E="三次交易")+(交易历史!A:A=A96)*(交易历史!E:E="二次交易")+(交易历史!A:A=A96)*(交易历史!E:E="首次交易"),0)),"")</f>
        <v>0</v>
      </c>
      <c r="G96" s="173">
        <f t="shared" si="2"/>
        <v>0</v>
      </c>
    </row>
    <row r="97" ht="31.5" spans="1:7">
      <c r="A97" s="171" t="s">
        <v>186</v>
      </c>
      <c r="B97" s="111"/>
      <c r="C97" s="176"/>
      <c r="E97" t="s">
        <v>225</v>
      </c>
      <c r="F97" s="173" cm="1">
        <f t="array" ref="F97">IFERROR(INDEX(交易历史!C:C,MATCH(1,(交易历史!A:A=A97)*(交易历史!E:E="四次交易")+(交易历史!A:A=A97)*(交易历史!E:E="三次交易")+(交易历史!A:A=A97)*(交易历史!E:E="二次交易")+(交易历史!A:A=A97)*(交易历史!E:E="首次交易"),0)),"")</f>
        <v>0</v>
      </c>
      <c r="G97" s="173">
        <f t="shared" si="2"/>
        <v>0</v>
      </c>
    </row>
    <row r="98" ht="31.5" spans="1:7">
      <c r="A98" s="171" t="s">
        <v>188</v>
      </c>
      <c r="B98" s="111"/>
      <c r="C98" s="176"/>
      <c r="E98" t="s">
        <v>225</v>
      </c>
      <c r="F98" s="173" cm="1">
        <f t="array" ref="F98">IFERROR(INDEX(交易历史!C:C,MATCH(1,(交易历史!A:A=A98)*(交易历史!E:E="四次交易")+(交易历史!A:A=A98)*(交易历史!E:E="三次交易")+(交易历史!A:A=A98)*(交易历史!E:E="二次交易")+(交易历史!A:A=A98)*(交易历史!E:E="首次交易"),0)),"")</f>
        <v>0</v>
      </c>
      <c r="G98" s="173">
        <f t="shared" si="2"/>
        <v>0</v>
      </c>
    </row>
    <row r="99" ht="31.5" spans="1:7">
      <c r="A99" s="171" t="s">
        <v>190</v>
      </c>
      <c r="B99" s="111"/>
      <c r="C99" s="176"/>
      <c r="E99" t="s">
        <v>225</v>
      </c>
      <c r="F99" s="173" cm="1">
        <f t="array" ref="F99">IFERROR(INDEX(交易历史!C:C,MATCH(1,(交易历史!A:A=A99)*(交易历史!E:E="四次交易")+(交易历史!A:A=A99)*(交易历史!E:E="三次交易")+(交易历史!A:A=A99)*(交易历史!E:E="二次交易")+(交易历史!A:A=A99)*(交易历史!E:E="首次交易"),0)),"")</f>
        <v>0</v>
      </c>
      <c r="G99" s="173">
        <f t="shared" ref="G99:G130" si="3">IF(A99&lt;&gt;"",_xlfn.MAXIFS($B$2:$B$200,$A$2:$A$200,A99),"")</f>
        <v>0</v>
      </c>
    </row>
    <row r="100" ht="31.5" spans="1:7">
      <c r="A100" s="171" t="s">
        <v>191</v>
      </c>
      <c r="B100" s="111"/>
      <c r="C100" s="176"/>
      <c r="E100" t="s">
        <v>225</v>
      </c>
      <c r="F100" s="173" cm="1">
        <f t="array" ref="F100">IFERROR(INDEX(交易历史!C:C,MATCH(1,(交易历史!A:A=A100)*(交易历史!E:E="四次交易")+(交易历史!A:A=A100)*(交易历史!E:E="三次交易")+(交易历史!A:A=A100)*(交易历史!E:E="二次交易")+(交易历史!A:A=A100)*(交易历史!E:E="首次交易"),0)),"")</f>
        <v>0</v>
      </c>
      <c r="G100" s="173">
        <f t="shared" si="3"/>
        <v>0</v>
      </c>
    </row>
    <row r="101" ht="31.5" spans="1:7">
      <c r="A101" s="171" t="s">
        <v>193</v>
      </c>
      <c r="B101" s="111"/>
      <c r="C101" s="176"/>
      <c r="E101" t="s">
        <v>225</v>
      </c>
      <c r="F101" s="173" cm="1">
        <f t="array" ref="F101">IFERROR(INDEX(交易历史!C:C,MATCH(1,(交易历史!A:A=A101)*(交易历史!E:E="四次交易")+(交易历史!A:A=A101)*(交易历史!E:E="三次交易")+(交易历史!A:A=A101)*(交易历史!E:E="二次交易")+(交易历史!A:A=A101)*(交易历史!E:E="首次交易"),0)),"")</f>
        <v>0</v>
      </c>
      <c r="G101" s="173">
        <f t="shared" si="3"/>
        <v>0</v>
      </c>
    </row>
    <row r="102" ht="31.5" spans="1:7">
      <c r="A102" s="171" t="s">
        <v>195</v>
      </c>
      <c r="B102" s="111"/>
      <c r="C102" s="176"/>
      <c r="E102" t="s">
        <v>225</v>
      </c>
      <c r="F102" s="173" cm="1">
        <f t="array" ref="F102">IFERROR(INDEX(交易历史!C:C,MATCH(1,(交易历史!A:A=A102)*(交易历史!E:E="四次交易")+(交易历史!A:A=A102)*(交易历史!E:E="三次交易")+(交易历史!A:A=A102)*(交易历史!E:E="二次交易")+(交易历史!A:A=A102)*(交易历史!E:E="首次交易"),0)),"")</f>
        <v>0</v>
      </c>
      <c r="G102" s="173">
        <f t="shared" si="3"/>
        <v>0</v>
      </c>
    </row>
    <row r="103" ht="31.5" spans="1:7">
      <c r="A103" s="171" t="s">
        <v>197</v>
      </c>
      <c r="B103" s="111"/>
      <c r="C103" s="176"/>
      <c r="E103" t="s">
        <v>225</v>
      </c>
      <c r="F103" s="173" cm="1">
        <f t="array" ref="F103">IFERROR(INDEX(交易历史!C:C,MATCH(1,(交易历史!A:A=A103)*(交易历史!E:E="四次交易")+(交易历史!A:A=A103)*(交易历史!E:E="三次交易")+(交易历史!A:A=A103)*(交易历史!E:E="二次交易")+(交易历史!A:A=A103)*(交易历史!E:E="首次交易"),0)),"")</f>
        <v>0</v>
      </c>
      <c r="G103" s="173">
        <f t="shared" si="3"/>
        <v>0</v>
      </c>
    </row>
    <row r="104" ht="31.5" spans="1:7">
      <c r="A104" s="171" t="s">
        <v>199</v>
      </c>
      <c r="B104" s="111"/>
      <c r="C104" s="176"/>
      <c r="E104" t="s">
        <v>225</v>
      </c>
      <c r="F104" s="173" cm="1">
        <f t="array" ref="F104">IFERROR(INDEX(交易历史!C:C,MATCH(1,(交易历史!A:A=A104)*(交易历史!E:E="四次交易")+(交易历史!A:A=A104)*(交易历史!E:E="三次交易")+(交易历史!A:A=A104)*(交易历史!E:E="二次交易")+(交易历史!A:A=A104)*(交易历史!E:E="首次交易"),0)),"")</f>
        <v>0</v>
      </c>
      <c r="G104" s="173">
        <f t="shared" si="3"/>
        <v>0</v>
      </c>
    </row>
    <row r="105" ht="31.5" spans="1:7">
      <c r="A105" s="171" t="s">
        <v>201</v>
      </c>
      <c r="B105" s="111"/>
      <c r="C105" s="176"/>
      <c r="E105" t="s">
        <v>225</v>
      </c>
      <c r="F105" s="173" cm="1">
        <f t="array" ref="F105">IFERROR(INDEX(交易历史!C:C,MATCH(1,(交易历史!A:A=A105)*(交易历史!E:E="四次交易")+(交易历史!A:A=A105)*(交易历史!E:E="三次交易")+(交易历史!A:A=A105)*(交易历史!E:E="二次交易")+(交易历史!A:A=A105)*(交易历史!E:E="首次交易"),0)),"")</f>
        <v>0</v>
      </c>
      <c r="G105" s="173">
        <f t="shared" si="3"/>
        <v>0</v>
      </c>
    </row>
    <row r="106" ht="31.5" spans="1:7">
      <c r="A106" s="171" t="s">
        <v>203</v>
      </c>
      <c r="B106" s="111"/>
      <c r="C106" s="176"/>
      <c r="E106" t="s">
        <v>225</v>
      </c>
      <c r="F106" s="173" cm="1">
        <f t="array" ref="F106">IFERROR(INDEX(交易历史!C:C,MATCH(1,(交易历史!A:A=A106)*(交易历史!E:E="四次交易")+(交易历史!A:A=A106)*(交易历史!E:E="三次交易")+(交易历史!A:A=A106)*(交易历史!E:E="二次交易")+(交易历史!A:A=A106)*(交易历史!E:E="首次交易"),0)),"")</f>
        <v>0</v>
      </c>
      <c r="G106" s="173">
        <f t="shared" si="3"/>
        <v>0</v>
      </c>
    </row>
    <row r="107" ht="31.5" spans="1:7">
      <c r="A107" s="171" t="s">
        <v>205</v>
      </c>
      <c r="B107" s="111"/>
      <c r="C107" s="176"/>
      <c r="E107" t="s">
        <v>225</v>
      </c>
      <c r="F107" s="173" cm="1">
        <f t="array" ref="F107">IFERROR(INDEX(交易历史!C:C,MATCH(1,(交易历史!A:A=A107)*(交易历史!E:E="四次交易")+(交易历史!A:A=A107)*(交易历史!E:E="三次交易")+(交易历史!A:A=A107)*(交易历史!E:E="二次交易")+(交易历史!A:A=A107)*(交易历史!E:E="首次交易"),0)),"")</f>
        <v>0</v>
      </c>
      <c r="G107" s="173">
        <f t="shared" si="3"/>
        <v>0</v>
      </c>
    </row>
    <row r="108" ht="31.5" spans="1:7">
      <c r="A108" s="171" t="s">
        <v>207</v>
      </c>
      <c r="B108" s="111"/>
      <c r="C108" s="176"/>
      <c r="E108" t="s">
        <v>225</v>
      </c>
      <c r="F108" s="173" cm="1">
        <f t="array" ref="F108">IFERROR(INDEX(交易历史!C:C,MATCH(1,(交易历史!A:A=A108)*(交易历史!E:E="四次交易")+(交易历史!A:A=A108)*(交易历史!E:E="三次交易")+(交易历史!A:A=A108)*(交易历史!E:E="二次交易")+(交易历史!A:A=A108)*(交易历史!E:E="首次交易"),0)),"")</f>
        <v>0</v>
      </c>
      <c r="G108" s="173">
        <f t="shared" si="3"/>
        <v>0</v>
      </c>
    </row>
    <row r="109" ht="31.5" spans="1:7">
      <c r="A109" s="171" t="s">
        <v>208</v>
      </c>
      <c r="B109" s="111"/>
      <c r="C109" s="176"/>
      <c r="E109" t="s">
        <v>225</v>
      </c>
      <c r="F109" s="173" cm="1">
        <f t="array" ref="F109">IFERROR(INDEX(交易历史!C:C,MATCH(1,(交易历史!A:A=A109)*(交易历史!E:E="四次交易")+(交易历史!A:A=A109)*(交易历史!E:E="三次交易")+(交易历史!A:A=A109)*(交易历史!E:E="二次交易")+(交易历史!A:A=A109)*(交易历史!E:E="首次交易"),0)),"")</f>
        <v>0</v>
      </c>
      <c r="G109" s="173">
        <f t="shared" si="3"/>
        <v>0</v>
      </c>
    </row>
    <row r="110" ht="31.5" spans="1:7">
      <c r="A110" s="171" t="s">
        <v>209</v>
      </c>
      <c r="B110" s="111"/>
      <c r="C110" s="176"/>
      <c r="E110" t="s">
        <v>225</v>
      </c>
      <c r="F110" s="173" cm="1">
        <f t="array" ref="F110">IFERROR(INDEX(交易历史!C:C,MATCH(1,(交易历史!A:A=A110)*(交易历史!E:E="四次交易")+(交易历史!A:A=A110)*(交易历史!E:E="三次交易")+(交易历史!A:A=A110)*(交易历史!E:E="二次交易")+(交易历史!A:A=A110)*(交易历史!E:E="首次交易"),0)),"")</f>
        <v>0</v>
      </c>
      <c r="G110" s="173">
        <f t="shared" si="3"/>
        <v>0</v>
      </c>
    </row>
    <row r="111" ht="31.5" spans="1:7">
      <c r="A111" s="171" t="s">
        <v>210</v>
      </c>
      <c r="B111" s="111"/>
      <c r="C111" s="176"/>
      <c r="E111" t="s">
        <v>225</v>
      </c>
      <c r="F111" s="173" cm="1">
        <f t="array" ref="F111">IFERROR(INDEX(交易历史!C:C,MATCH(1,(交易历史!A:A=A111)*(交易历史!E:E="四次交易")+(交易历史!A:A=A111)*(交易历史!E:E="三次交易")+(交易历史!A:A=A111)*(交易历史!E:E="二次交易")+(交易历史!A:A=A111)*(交易历史!E:E="首次交易"),0)),"")</f>
        <v>0</v>
      </c>
      <c r="G111" s="173">
        <f t="shared" si="3"/>
        <v>0</v>
      </c>
    </row>
    <row r="112" ht="31.5" spans="1:7">
      <c r="A112" s="171" t="s">
        <v>212</v>
      </c>
      <c r="B112" s="111"/>
      <c r="C112" s="176"/>
      <c r="E112" t="s">
        <v>225</v>
      </c>
      <c r="F112" s="173" cm="1">
        <f t="array" ref="F112">IFERROR(INDEX(交易历史!C:C,MATCH(1,(交易历史!A:A=A112)*(交易历史!E:E="四次交易")+(交易历史!A:A=A112)*(交易历史!E:E="三次交易")+(交易历史!A:A=A112)*(交易历史!E:E="二次交易")+(交易历史!A:A=A112)*(交易历史!E:E="首次交易"),0)),"")</f>
        <v>0</v>
      </c>
      <c r="G112" s="173">
        <f t="shared" si="3"/>
        <v>0</v>
      </c>
    </row>
    <row r="113" ht="31.5" spans="1:7">
      <c r="A113" s="171" t="s">
        <v>213</v>
      </c>
      <c r="B113" s="111"/>
      <c r="C113" s="176"/>
      <c r="E113" t="s">
        <v>225</v>
      </c>
      <c r="F113" s="173" cm="1">
        <f t="array" ref="F113">IFERROR(INDEX(交易历史!C:C,MATCH(1,(交易历史!A:A=A113)*(交易历史!E:E="四次交易")+(交易历史!A:A=A113)*(交易历史!E:E="三次交易")+(交易历史!A:A=A113)*(交易历史!E:E="二次交易")+(交易历史!A:A=A113)*(交易历史!E:E="首次交易"),0)),"")</f>
        <v>0</v>
      </c>
      <c r="G113" s="173">
        <f t="shared" si="3"/>
        <v>0</v>
      </c>
    </row>
    <row r="114" ht="31.5" spans="1:7">
      <c r="A114" s="171" t="s">
        <v>214</v>
      </c>
      <c r="B114" s="111"/>
      <c r="C114" s="176"/>
      <c r="E114" t="s">
        <v>225</v>
      </c>
      <c r="F114" s="173" cm="1">
        <f t="array" ref="F114">IFERROR(INDEX(交易历史!C:C,MATCH(1,(交易历史!A:A=A114)*(交易历史!E:E="四次交易")+(交易历史!A:A=A114)*(交易历史!E:E="三次交易")+(交易历史!A:A=A114)*(交易历史!E:E="二次交易")+(交易历史!A:A=A114)*(交易历史!E:E="首次交易"),0)),"")</f>
        <v>0</v>
      </c>
      <c r="G114" s="173">
        <f t="shared" si="3"/>
        <v>0</v>
      </c>
    </row>
    <row r="115" ht="31.5" spans="1:7">
      <c r="A115" s="171" t="s">
        <v>216</v>
      </c>
      <c r="B115" s="111"/>
      <c r="C115" s="176"/>
      <c r="E115" t="s">
        <v>225</v>
      </c>
      <c r="F115" s="173" cm="1">
        <f t="array" ref="F115">IFERROR(INDEX(交易历史!C:C,MATCH(1,(交易历史!A:A=A115)*(交易历史!E:E="四次交易")+(交易历史!A:A=A115)*(交易历史!E:E="三次交易")+(交易历史!A:A=A115)*(交易历史!E:E="二次交易")+(交易历史!A:A=A115)*(交易历史!E:E="首次交易"),0)),"")</f>
        <v>0</v>
      </c>
      <c r="G115" s="173">
        <f t="shared" si="3"/>
        <v>0</v>
      </c>
    </row>
    <row r="116" ht="31.5" spans="1:7">
      <c r="A116" s="171"/>
      <c r="B116" s="111"/>
      <c r="C116" s="176"/>
      <c r="F116" s="173" t="str" cm="1">
        <f t="array" ref="F116">IFERROR(INDEX(交易历史!C:C,MATCH(1,(交易历史!A:A=A116)*(交易历史!E:E="四次交易")+(交易历史!A:A=A116)*(交易历史!E:E="三次交易")+(交易历史!A:A=A116)*(交易历史!E:E="二次交易")+(交易历史!A:A=A116)*(交易历史!E:E="首次交易"),0)),"")</f>
        <v/>
      </c>
      <c r="G116" s="173" t="str">
        <f t="shared" si="3"/>
        <v/>
      </c>
    </row>
    <row r="117" ht="29.25" spans="1:7">
      <c r="A117" s="177"/>
      <c r="B117" s="111"/>
      <c r="C117" s="176"/>
      <c r="F117" s="173" t="str" cm="1">
        <f t="array" ref="F117">IFERROR(INDEX(交易历史!C:C,MATCH(1,(交易历史!A:A=A117)*(交易历史!E:E="四次交易")+(交易历史!A:A=A117)*(交易历史!E:E="三次交易")+(交易历史!A:A=A117)*(交易历史!E:E="二次交易")+(交易历史!A:A=A117)*(交易历史!E:E="首次交易"),0)),"")</f>
        <v/>
      </c>
      <c r="G117" s="173" t="str">
        <f t="shared" si="3"/>
        <v/>
      </c>
    </row>
    <row r="118" ht="29.25" spans="1:7">
      <c r="A118" s="75"/>
      <c r="B118" s="111"/>
      <c r="C118" s="176"/>
      <c r="F118" s="173" t="str" cm="1">
        <f t="array" ref="F118">IFERROR(INDEX(交易历史!C:C,MATCH(1,(交易历史!A:A=A118)*(交易历史!E:E="四次交易")+(交易历史!A:A=A118)*(交易历史!E:E="三次交易")+(交易历史!A:A=A118)*(交易历史!E:E="二次交易")+(交易历史!A:A=A118)*(交易历史!E:E="首次交易"),0)),"")</f>
        <v/>
      </c>
      <c r="G118" s="173" t="str">
        <f t="shared" si="3"/>
        <v/>
      </c>
    </row>
    <row r="119" ht="29.25" spans="1:7">
      <c r="A119" s="177"/>
      <c r="B119" s="111"/>
      <c r="C119" s="176"/>
      <c r="F119" s="173" t="str" cm="1">
        <f t="array" ref="F119">IFERROR(INDEX(交易历史!C:C,MATCH(1,(交易历史!A:A=A119)*(交易历史!E:E="四次交易")+(交易历史!A:A=A119)*(交易历史!E:E="三次交易")+(交易历史!A:A=A119)*(交易历史!E:E="二次交易")+(交易历史!A:A=A119)*(交易历史!E:E="首次交易"),0)),"")</f>
        <v/>
      </c>
      <c r="G119" s="173" t="str">
        <f t="shared" si="3"/>
        <v/>
      </c>
    </row>
    <row r="120" ht="29.25" spans="1:7">
      <c r="A120" s="177"/>
      <c r="B120" s="111"/>
      <c r="C120" s="176"/>
      <c r="F120" s="173" t="str" cm="1">
        <f t="array" ref="F120">IFERROR(INDEX(交易历史!C:C,MATCH(1,(交易历史!A:A=A120)*(交易历史!E:E="四次交易")+(交易历史!A:A=A120)*(交易历史!E:E="三次交易")+(交易历史!A:A=A120)*(交易历史!E:E="二次交易")+(交易历史!A:A=A120)*(交易历史!E:E="首次交易"),0)),"")</f>
        <v/>
      </c>
      <c r="G120" s="173" t="str">
        <f t="shared" si="3"/>
        <v/>
      </c>
    </row>
    <row r="121" ht="29.25" spans="1:7">
      <c r="A121" s="177"/>
      <c r="B121" s="111"/>
      <c r="C121" s="176"/>
      <c r="F121" s="173" t="str" cm="1">
        <f t="array" ref="F121">IFERROR(INDEX(交易历史!C:C,MATCH(1,(交易历史!A:A=A121)*(交易历史!E:E="四次交易")+(交易历史!A:A=A121)*(交易历史!E:E="三次交易")+(交易历史!A:A=A121)*(交易历史!E:E="二次交易")+(交易历史!A:A=A121)*(交易历史!E:E="首次交易"),0)),"")</f>
        <v/>
      </c>
      <c r="G121" s="173" t="str">
        <f t="shared" si="3"/>
        <v/>
      </c>
    </row>
    <row r="122" ht="29.25" spans="1:7">
      <c r="A122" s="177"/>
      <c r="B122" s="111"/>
      <c r="C122" s="176"/>
      <c r="F122" s="173" t="str" cm="1">
        <f t="array" ref="F122">IFERROR(INDEX(交易历史!C:C,MATCH(1,(交易历史!A:A=A122)*(交易历史!E:E="四次交易")+(交易历史!A:A=A122)*(交易历史!E:E="三次交易")+(交易历史!A:A=A122)*(交易历史!E:E="二次交易")+(交易历史!A:A=A122)*(交易历史!E:E="首次交易"),0)),"")</f>
        <v/>
      </c>
      <c r="G122" s="173" t="str">
        <f t="shared" si="3"/>
        <v/>
      </c>
    </row>
    <row r="123" ht="29.25" spans="1:7">
      <c r="A123" s="177"/>
      <c r="B123" s="111"/>
      <c r="C123" s="176"/>
      <c r="F123" s="173" t="str" cm="1">
        <f t="array" ref="F123">IFERROR(INDEX(交易历史!C:C,MATCH(1,(交易历史!A:A=A123)*(交易历史!E:E="四次交易")+(交易历史!A:A=A123)*(交易历史!E:E="三次交易")+(交易历史!A:A=A123)*(交易历史!E:E="二次交易")+(交易历史!A:A=A123)*(交易历史!E:E="首次交易"),0)),"")</f>
        <v/>
      </c>
      <c r="G123" s="173" t="str">
        <f t="shared" si="3"/>
        <v/>
      </c>
    </row>
    <row r="124" ht="29.25" spans="1:7">
      <c r="A124" s="177"/>
      <c r="B124" s="111"/>
      <c r="C124" s="176"/>
      <c r="F124" s="173" t="str" cm="1">
        <f t="array" ref="F124">IFERROR(INDEX(交易历史!C:C,MATCH(1,(交易历史!A:A=A124)*(交易历史!E:E="四次交易")+(交易历史!A:A=A124)*(交易历史!E:E="三次交易")+(交易历史!A:A=A124)*(交易历史!E:E="二次交易")+(交易历史!A:A=A124)*(交易历史!E:E="首次交易"),0)),"")</f>
        <v/>
      </c>
      <c r="G124" s="173" t="str">
        <f t="shared" si="3"/>
        <v/>
      </c>
    </row>
    <row r="125" ht="29.25" spans="1:7">
      <c r="A125" s="177"/>
      <c r="B125" s="111"/>
      <c r="C125" s="176"/>
      <c r="F125" s="173" t="str" cm="1">
        <f t="array" ref="F125">IFERROR(INDEX(交易历史!C:C,MATCH(1,(交易历史!A:A=A125)*(交易历史!E:E="四次交易")+(交易历史!A:A=A125)*(交易历史!E:E="三次交易")+(交易历史!A:A=A125)*(交易历史!E:E="二次交易")+(交易历史!A:A=A125)*(交易历史!E:E="首次交易"),0)),"")</f>
        <v/>
      </c>
      <c r="G125" s="173" t="str">
        <f t="shared" si="3"/>
        <v/>
      </c>
    </row>
    <row r="126" ht="29.25" spans="1:7">
      <c r="A126" s="177"/>
      <c r="B126" s="111"/>
      <c r="C126" s="176"/>
      <c r="F126" s="173" t="str" cm="1">
        <f t="array" ref="F126">IFERROR(INDEX(交易历史!C:C,MATCH(1,(交易历史!A:A=A126)*(交易历史!E:E="四次交易")+(交易历史!A:A=A126)*(交易历史!E:E="三次交易")+(交易历史!A:A=A126)*(交易历史!E:E="二次交易")+(交易历史!A:A=A126)*(交易历史!E:E="首次交易"),0)),"")</f>
        <v/>
      </c>
      <c r="G126" s="173" t="str">
        <f t="shared" si="3"/>
        <v/>
      </c>
    </row>
    <row r="127" ht="29.25" spans="1:7">
      <c r="A127" s="177"/>
      <c r="B127" s="111"/>
      <c r="C127" s="176"/>
      <c r="F127" s="173" t="str" cm="1">
        <f t="array" ref="F127">IFERROR(INDEX(交易历史!C:C,MATCH(1,(交易历史!A:A=A127)*(交易历史!E:E="四次交易")+(交易历史!A:A=A127)*(交易历史!E:E="三次交易")+(交易历史!A:A=A127)*(交易历史!E:E="二次交易")+(交易历史!A:A=A127)*(交易历史!E:E="首次交易"),0)),"")</f>
        <v/>
      </c>
      <c r="G127" s="173" t="str">
        <f t="shared" si="3"/>
        <v/>
      </c>
    </row>
    <row r="128" ht="29.25" spans="1:7">
      <c r="A128" s="177"/>
      <c r="B128" s="111"/>
      <c r="C128" s="176"/>
      <c r="F128" s="173" t="str" cm="1">
        <f t="array" ref="F128">IFERROR(INDEX(交易历史!C:C,MATCH(1,(交易历史!A:A=A128)*(交易历史!E:E="四次交易")+(交易历史!A:A=A128)*(交易历史!E:E="三次交易")+(交易历史!A:A=A128)*(交易历史!E:E="二次交易")+(交易历史!A:A=A128)*(交易历史!E:E="首次交易"),0)),"")</f>
        <v/>
      </c>
      <c r="G128" s="173" t="str">
        <f t="shared" si="3"/>
        <v/>
      </c>
    </row>
    <row r="129" ht="29.25" spans="1:7">
      <c r="A129" s="177"/>
      <c r="B129" s="111"/>
      <c r="C129" s="176"/>
      <c r="F129" s="173" t="str" cm="1">
        <f t="array" ref="F129">IFERROR(INDEX(交易历史!C:C,MATCH(1,(交易历史!A:A=A129)*(交易历史!E:E="四次交易")+(交易历史!A:A=A129)*(交易历史!E:E="三次交易")+(交易历史!A:A=A129)*(交易历史!E:E="二次交易")+(交易历史!A:A=A129)*(交易历史!E:E="首次交易"),0)),"")</f>
        <v/>
      </c>
      <c r="G129" s="173" t="str">
        <f t="shared" si="3"/>
        <v/>
      </c>
    </row>
    <row r="130" ht="29.25" spans="1:7">
      <c r="A130" s="177"/>
      <c r="B130" s="111"/>
      <c r="C130" s="176"/>
      <c r="F130" s="173" t="str" cm="1">
        <f t="array" ref="F130">IFERROR(INDEX(交易历史!C:C,MATCH(1,(交易历史!A:A=A130)*(交易历史!E:E="四次交易")+(交易历史!A:A=A130)*(交易历史!E:E="三次交易")+(交易历史!A:A=A130)*(交易历史!E:E="二次交易")+(交易历史!A:A=A130)*(交易历史!E:E="首次交易"),0)),"")</f>
        <v/>
      </c>
      <c r="G130" s="173" t="str">
        <f t="shared" si="3"/>
        <v/>
      </c>
    </row>
    <row r="131" ht="29.25" spans="1:7">
      <c r="A131" s="177"/>
      <c r="B131" s="111"/>
      <c r="C131" s="176"/>
      <c r="F131" s="173" t="str" cm="1">
        <f t="array" ref="F131">IFERROR(INDEX(交易历史!C:C,MATCH(1,(交易历史!A:A=A131)*(交易历史!E:E="四次交易")+(交易历史!A:A=A131)*(交易历史!E:E="三次交易")+(交易历史!A:A=A131)*(交易历史!E:E="二次交易")+(交易历史!A:A=A131)*(交易历史!E:E="首次交易"),0)),"")</f>
        <v/>
      </c>
      <c r="G131" s="173" t="str">
        <f t="shared" ref="G131:G162" si="4">IF(A131&lt;&gt;"",_xlfn.MAXIFS($B$2:$B$200,$A$2:$A$200,A131),"")</f>
        <v/>
      </c>
    </row>
    <row r="132" ht="29.25" spans="1:7">
      <c r="A132" s="177"/>
      <c r="B132" s="111"/>
      <c r="C132" s="176"/>
      <c r="F132" s="173" t="str" cm="1">
        <f t="array" ref="F132">IFERROR(INDEX(交易历史!C:C,MATCH(1,(交易历史!A:A=A132)*(交易历史!E:E="四次交易")+(交易历史!A:A=A132)*(交易历史!E:E="三次交易")+(交易历史!A:A=A132)*(交易历史!E:E="二次交易")+(交易历史!A:A=A132)*(交易历史!E:E="首次交易"),0)),"")</f>
        <v/>
      </c>
      <c r="G132" s="173" t="str">
        <f t="shared" si="4"/>
        <v/>
      </c>
    </row>
    <row r="133" ht="29.25" spans="1:7">
      <c r="A133" s="177"/>
      <c r="B133" s="111"/>
      <c r="C133" s="176"/>
      <c r="F133" s="173" t="str" cm="1">
        <f t="array" ref="F133">IFERROR(INDEX(交易历史!C:C,MATCH(1,(交易历史!A:A=A133)*(交易历史!E:E="四次交易")+(交易历史!A:A=A133)*(交易历史!E:E="三次交易")+(交易历史!A:A=A133)*(交易历史!E:E="二次交易")+(交易历史!A:A=A133)*(交易历史!E:E="首次交易"),0)),"")</f>
        <v/>
      </c>
      <c r="G133" s="173" t="str">
        <f t="shared" si="4"/>
        <v/>
      </c>
    </row>
    <row r="134" ht="29.25" spans="1:7">
      <c r="A134" s="177"/>
      <c r="B134" s="111"/>
      <c r="C134" s="176"/>
      <c r="F134" s="173" t="str" cm="1">
        <f t="array" ref="F134">IFERROR(INDEX(交易历史!C:C,MATCH(1,(交易历史!A:A=A134)*(交易历史!E:E="四次交易")+(交易历史!A:A=A134)*(交易历史!E:E="三次交易")+(交易历史!A:A=A134)*(交易历史!E:E="二次交易")+(交易历史!A:A=A134)*(交易历史!E:E="首次交易"),0)),"")</f>
        <v/>
      </c>
      <c r="G134" s="173" t="str">
        <f t="shared" si="4"/>
        <v/>
      </c>
    </row>
    <row r="135" spans="6:7">
      <c r="F135" s="173" t="str" cm="1">
        <f t="array" ref="F135">IFERROR(INDEX(交易历史!C:C,MATCH(1,(交易历史!A:A=A135)*(交易历史!E:E="四次交易")+(交易历史!A:A=A135)*(交易历史!E:E="三次交易")+(交易历史!A:A=A135)*(交易历史!E:E="二次交易")+(交易历史!A:A=A135)*(交易历史!E:E="首次交易"),0)),"")</f>
        <v/>
      </c>
      <c r="G135" s="173" t="str">
        <f t="shared" si="4"/>
        <v/>
      </c>
    </row>
    <row r="136" spans="6:7">
      <c r="F136" s="173" t="str" cm="1">
        <f t="array" ref="F136">IFERROR(INDEX(交易历史!C:C,MATCH(1,(交易历史!A:A=A136)*(交易历史!E:E="四次交易")+(交易历史!A:A=A136)*(交易历史!E:E="三次交易")+(交易历史!A:A=A136)*(交易历史!E:E="二次交易")+(交易历史!A:A=A136)*(交易历史!E:E="首次交易"),0)),"")</f>
        <v/>
      </c>
      <c r="G136" s="173" t="str">
        <f t="shared" si="4"/>
        <v/>
      </c>
    </row>
    <row r="137" spans="6:7">
      <c r="F137" s="173" t="str" cm="1">
        <f t="array" ref="F137">IFERROR(INDEX(交易历史!C:C,MATCH(1,(交易历史!A:A=A137)*(交易历史!E:E="四次交易")+(交易历史!A:A=A137)*(交易历史!E:E="三次交易")+(交易历史!A:A=A137)*(交易历史!E:E="二次交易")+(交易历史!A:A=A137)*(交易历史!E:E="首次交易"),0)),"")</f>
        <v/>
      </c>
      <c r="G137" s="173" t="str">
        <f t="shared" si="4"/>
        <v/>
      </c>
    </row>
    <row r="138" spans="6:7">
      <c r="F138" s="173" t="str" cm="1">
        <f t="array" ref="F138">IFERROR(INDEX(交易历史!C:C,MATCH(1,(交易历史!A:A=A138)*(交易历史!E:E="四次交易")+(交易历史!A:A=A138)*(交易历史!E:E="三次交易")+(交易历史!A:A=A138)*(交易历史!E:E="二次交易")+(交易历史!A:A=A138)*(交易历史!E:E="首次交易"),0)),"")</f>
        <v/>
      </c>
      <c r="G138" s="173" t="str">
        <f t="shared" si="4"/>
        <v/>
      </c>
    </row>
    <row r="139" spans="6:7">
      <c r="F139" s="173" t="str" cm="1">
        <f t="array" ref="F139">IFERROR(INDEX(交易历史!C:C,MATCH(1,(交易历史!A:A=A139)*(交易历史!E:E="四次交易")+(交易历史!A:A=A139)*(交易历史!E:E="三次交易")+(交易历史!A:A=A139)*(交易历史!E:E="二次交易")+(交易历史!A:A=A139)*(交易历史!E:E="首次交易"),0)),"")</f>
        <v/>
      </c>
      <c r="G139" s="173" t="str">
        <f t="shared" si="4"/>
        <v/>
      </c>
    </row>
    <row r="140" spans="6:7">
      <c r="F140" s="173" t="str" cm="1">
        <f t="array" ref="F140">IFERROR(INDEX(交易历史!C:C,MATCH(1,(交易历史!A:A=A140)*(交易历史!E:E="四次交易")+(交易历史!A:A=A140)*(交易历史!E:E="三次交易")+(交易历史!A:A=A140)*(交易历史!E:E="二次交易")+(交易历史!A:A=A140)*(交易历史!E:E="首次交易"),0)),"")</f>
        <v/>
      </c>
      <c r="G140" s="173" t="str">
        <f t="shared" si="4"/>
        <v/>
      </c>
    </row>
    <row r="141" spans="6:7">
      <c r="F141" s="173" t="str" cm="1">
        <f t="array" ref="F141">IFERROR(INDEX(交易历史!C:C,MATCH(1,(交易历史!A:A=A141)*(交易历史!E:E="四次交易")+(交易历史!A:A=A141)*(交易历史!E:E="三次交易")+(交易历史!A:A=A141)*(交易历史!E:E="二次交易")+(交易历史!A:A=A141)*(交易历史!E:E="首次交易"),0)),"")</f>
        <v/>
      </c>
      <c r="G141" s="173" t="str">
        <f t="shared" si="4"/>
        <v/>
      </c>
    </row>
    <row r="142" spans="6:7">
      <c r="F142" s="173" t="str" cm="1">
        <f t="array" ref="F142">IFERROR(INDEX(交易历史!C:C,MATCH(1,(交易历史!A:A=A142)*(交易历史!E:E="四次交易")+(交易历史!A:A=A142)*(交易历史!E:E="三次交易")+(交易历史!A:A=A142)*(交易历史!E:E="二次交易")+(交易历史!A:A=A142)*(交易历史!E:E="首次交易"),0)),"")</f>
        <v/>
      </c>
      <c r="G142" s="173" t="str">
        <f t="shared" si="4"/>
        <v/>
      </c>
    </row>
    <row r="143" spans="6:7">
      <c r="F143" s="173" t="str" cm="1">
        <f t="array" ref="F143">IFERROR(INDEX(交易历史!C:C,MATCH(1,(交易历史!A:A=A143)*(交易历史!E:E="四次交易")+(交易历史!A:A=A143)*(交易历史!E:E="三次交易")+(交易历史!A:A=A143)*(交易历史!E:E="二次交易")+(交易历史!A:A=A143)*(交易历史!E:E="首次交易"),0)),"")</f>
        <v/>
      </c>
      <c r="G143" s="173" t="str">
        <f t="shared" si="4"/>
        <v/>
      </c>
    </row>
    <row r="144" spans="6:7">
      <c r="F144" s="173" t="str" cm="1">
        <f t="array" ref="F144">IFERROR(INDEX(交易历史!C:C,MATCH(1,(交易历史!A:A=A144)*(交易历史!E:E="四次交易")+(交易历史!A:A=A144)*(交易历史!E:E="三次交易")+(交易历史!A:A=A144)*(交易历史!E:E="二次交易")+(交易历史!A:A=A144)*(交易历史!E:E="首次交易"),0)),"")</f>
        <v/>
      </c>
      <c r="G144" s="173" t="str">
        <f t="shared" si="4"/>
        <v/>
      </c>
    </row>
    <row r="145" spans="6:7">
      <c r="F145" s="173" t="str" cm="1">
        <f t="array" ref="F145">IFERROR(INDEX(交易历史!C:C,MATCH(1,(交易历史!A:A=A145)*(交易历史!E:E="四次交易")+(交易历史!A:A=A145)*(交易历史!E:E="三次交易")+(交易历史!A:A=A145)*(交易历史!E:E="二次交易")+(交易历史!A:A=A145)*(交易历史!E:E="首次交易"),0)),"")</f>
        <v/>
      </c>
      <c r="G145" s="173" t="str">
        <f t="shared" si="4"/>
        <v/>
      </c>
    </row>
    <row r="146" spans="6:7">
      <c r="F146" s="173" t="str" cm="1">
        <f t="array" ref="F146">IFERROR(INDEX(交易历史!C:C,MATCH(1,(交易历史!A:A=A146)*(交易历史!E:E="四次交易")+(交易历史!A:A=A146)*(交易历史!E:E="三次交易")+(交易历史!A:A=A146)*(交易历史!E:E="二次交易")+(交易历史!A:A=A146)*(交易历史!E:E="首次交易"),0)),"")</f>
        <v/>
      </c>
      <c r="G146" s="173" t="str">
        <f t="shared" si="4"/>
        <v/>
      </c>
    </row>
    <row r="147" spans="6:7">
      <c r="F147" s="173" t="str" cm="1">
        <f t="array" ref="F147">IFERROR(INDEX(交易历史!C:C,MATCH(1,(交易历史!A:A=A147)*(交易历史!E:E="四次交易")+(交易历史!A:A=A147)*(交易历史!E:E="三次交易")+(交易历史!A:A=A147)*(交易历史!E:E="二次交易")+(交易历史!A:A=A147)*(交易历史!E:E="首次交易"),0)),"")</f>
        <v/>
      </c>
      <c r="G147" s="173" t="str">
        <f t="shared" si="4"/>
        <v/>
      </c>
    </row>
    <row r="148" spans="7:7">
      <c r="G148" s="173" t="str">
        <f t="shared" si="4"/>
        <v/>
      </c>
    </row>
    <row r="149" spans="7:7">
      <c r="G149" s="173" t="str">
        <f t="shared" si="4"/>
        <v/>
      </c>
    </row>
    <row r="150" spans="7:7">
      <c r="G150" s="173" t="str">
        <f t="shared" si="4"/>
        <v/>
      </c>
    </row>
    <row r="151" spans="7:7">
      <c r="G151" s="173" t="str">
        <f t="shared" si="4"/>
        <v/>
      </c>
    </row>
    <row r="152" spans="7:7">
      <c r="G152" s="173" t="str">
        <f t="shared" si="4"/>
        <v/>
      </c>
    </row>
    <row r="153" spans="7:7">
      <c r="G153" s="173" t="str">
        <f t="shared" si="4"/>
        <v/>
      </c>
    </row>
    <row r="154" spans="7:7">
      <c r="G154" s="173" t="str">
        <f t="shared" si="4"/>
        <v/>
      </c>
    </row>
    <row r="155" spans="7:7">
      <c r="G155" s="173" t="str">
        <f t="shared" si="4"/>
        <v/>
      </c>
    </row>
    <row r="156" spans="7:7">
      <c r="G156" s="173" t="str">
        <f t="shared" si="4"/>
        <v/>
      </c>
    </row>
    <row r="157" spans="7:7">
      <c r="G157" s="173" t="str">
        <f t="shared" si="4"/>
        <v/>
      </c>
    </row>
    <row r="158" spans="7:7">
      <c r="G158" s="173" t="str">
        <f t="shared" si="4"/>
        <v/>
      </c>
    </row>
    <row r="159" spans="7:7">
      <c r="G159" s="173" t="str">
        <f t="shared" si="4"/>
        <v/>
      </c>
    </row>
    <row r="160" spans="7:7">
      <c r="G160" s="173" t="str">
        <f t="shared" si="4"/>
        <v/>
      </c>
    </row>
    <row r="161" spans="7:7">
      <c r="G161" s="173" t="str">
        <f t="shared" si="4"/>
        <v/>
      </c>
    </row>
    <row r="162" spans="7:7">
      <c r="G162" s="173" t="str">
        <f t="shared" si="4"/>
        <v/>
      </c>
    </row>
    <row r="163" spans="7:7">
      <c r="G163" s="173" t="str">
        <f t="shared" ref="G163:G199" si="5">IF(A163&lt;&gt;"",_xlfn.MAXIFS($B$2:$B$200,$A$2:$A$200,A163),"")</f>
        <v/>
      </c>
    </row>
    <row r="164" spans="7:7">
      <c r="G164" s="173" t="str">
        <f t="shared" si="5"/>
        <v/>
      </c>
    </row>
    <row r="165" spans="7:7">
      <c r="G165" s="173" t="str">
        <f t="shared" si="5"/>
        <v/>
      </c>
    </row>
    <row r="166" spans="7:7">
      <c r="G166" s="173" t="str">
        <f t="shared" si="5"/>
        <v/>
      </c>
    </row>
    <row r="167" spans="7:7">
      <c r="G167" s="173" t="str">
        <f t="shared" si="5"/>
        <v/>
      </c>
    </row>
    <row r="168" spans="7:7">
      <c r="G168" s="173" t="str">
        <f t="shared" si="5"/>
        <v/>
      </c>
    </row>
    <row r="169" spans="7:7">
      <c r="G169" s="173" t="str">
        <f t="shared" si="5"/>
        <v/>
      </c>
    </row>
    <row r="170" spans="7:7">
      <c r="G170" s="173" t="str">
        <f t="shared" si="5"/>
        <v/>
      </c>
    </row>
    <row r="171" spans="7:7">
      <c r="G171" s="173" t="str">
        <f t="shared" si="5"/>
        <v/>
      </c>
    </row>
    <row r="172" spans="7:7">
      <c r="G172" s="173" t="str">
        <f t="shared" si="5"/>
        <v/>
      </c>
    </row>
    <row r="173" spans="7:7">
      <c r="G173" s="173" t="str">
        <f t="shared" si="5"/>
        <v/>
      </c>
    </row>
    <row r="174" spans="7:7">
      <c r="G174" s="173" t="str">
        <f t="shared" si="5"/>
        <v/>
      </c>
    </row>
    <row r="175" spans="7:7">
      <c r="G175" s="173" t="str">
        <f t="shared" si="5"/>
        <v/>
      </c>
    </row>
    <row r="176" spans="7:7">
      <c r="G176" s="173" t="str">
        <f t="shared" si="5"/>
        <v/>
      </c>
    </row>
    <row r="177" spans="7:7">
      <c r="G177" s="173" t="str">
        <f t="shared" si="5"/>
        <v/>
      </c>
    </row>
    <row r="178" spans="7:7">
      <c r="G178" s="173" t="str">
        <f t="shared" si="5"/>
        <v/>
      </c>
    </row>
    <row r="179" spans="7:7">
      <c r="G179" s="173" t="str">
        <f t="shared" si="5"/>
        <v/>
      </c>
    </row>
    <row r="180" spans="7:7">
      <c r="G180" s="173" t="str">
        <f t="shared" si="5"/>
        <v/>
      </c>
    </row>
    <row r="181" spans="7:7">
      <c r="G181" s="173" t="str">
        <f t="shared" si="5"/>
        <v/>
      </c>
    </row>
    <row r="182" spans="7:7">
      <c r="G182" s="173" t="str">
        <f t="shared" si="5"/>
        <v/>
      </c>
    </row>
    <row r="183" spans="7:7">
      <c r="G183" s="173" t="str">
        <f t="shared" si="5"/>
        <v/>
      </c>
    </row>
    <row r="184" spans="7:7">
      <c r="G184" s="173" t="str">
        <f t="shared" si="5"/>
        <v/>
      </c>
    </row>
    <row r="185" spans="7:7">
      <c r="G185" s="173" t="str">
        <f t="shared" si="5"/>
        <v/>
      </c>
    </row>
    <row r="186" spans="7:7">
      <c r="G186" s="173" t="str">
        <f t="shared" si="5"/>
        <v/>
      </c>
    </row>
    <row r="187" spans="7:7">
      <c r="G187" s="173" t="str">
        <f t="shared" si="5"/>
        <v/>
      </c>
    </row>
    <row r="188" spans="7:7">
      <c r="G188" s="173" t="str">
        <f t="shared" si="5"/>
        <v/>
      </c>
    </row>
    <row r="189" spans="7:7">
      <c r="G189" s="173" t="str">
        <f t="shared" si="5"/>
        <v/>
      </c>
    </row>
    <row r="190" spans="7:7">
      <c r="G190" s="173" t="str">
        <f t="shared" si="5"/>
        <v/>
      </c>
    </row>
    <row r="191" spans="7:7">
      <c r="G191" s="173" t="str">
        <f t="shared" si="5"/>
        <v/>
      </c>
    </row>
    <row r="192" spans="7:7">
      <c r="G192" s="173" t="str">
        <f t="shared" si="5"/>
        <v/>
      </c>
    </row>
    <row r="193" spans="7:7">
      <c r="G193" s="173" t="str">
        <f t="shared" si="5"/>
        <v/>
      </c>
    </row>
    <row r="194" spans="7:7">
      <c r="G194" s="173" t="str">
        <f t="shared" si="5"/>
        <v/>
      </c>
    </row>
    <row r="195" spans="7:7">
      <c r="G195" s="173" t="str">
        <f t="shared" si="5"/>
        <v/>
      </c>
    </row>
    <row r="196" spans="7:7">
      <c r="G196" s="173" t="str">
        <f t="shared" si="5"/>
        <v/>
      </c>
    </row>
    <row r="197" spans="7:7">
      <c r="G197" s="173" t="str">
        <f t="shared" si="5"/>
        <v/>
      </c>
    </row>
    <row r="198" spans="7:7">
      <c r="G198" s="173" t="str">
        <f t="shared" si="5"/>
        <v/>
      </c>
    </row>
    <row r="199" spans="7:7">
      <c r="G199" s="173" t="str">
        <f t="shared" si="5"/>
        <v/>
      </c>
    </row>
  </sheetData>
  <dataValidations count="3">
    <dataValidation type="list" allowBlank="1" sqref="A116 A2:A115 A117:A200">
      <formula1/>
    </dataValidation>
    <dataValidation type="list" allowBlank="1" sqref="C2:C200 D2:D200">
      <formula1>"【CbHz】吃饱喝足就是玩,【SSR】Superior Super Rare,【OldH】老H犟嘴,【AWO】逃出生天,【G2】G2‭,【TV】Team Vitality,【Miniworld】迷你世界,【NikoFC】NikoCN Fanclub"</formula1>
    </dataValidation>
    <dataValidation type="list" allowBlank="1" sqref="E2:E200">
      <formula1>"首次交易,二次交易,三次交易,四次交易"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R82"/>
  <sheetViews>
    <sheetView showGridLines="0" tabSelected="1" topLeftCell="A5" workbookViewId="0">
      <selection activeCell="C30" sqref="C30"/>
    </sheetView>
  </sheetViews>
  <sheetFormatPr defaultColWidth="8" defaultRowHeight="13.5"/>
  <cols>
    <col min="1" max="1" width="8" style="86" customWidth="1"/>
    <col min="2" max="2" width="11.2222222222222" style="86" customWidth="1"/>
    <col min="3" max="3" width="15" style="86" customWidth="1"/>
    <col min="4" max="4" width="26.6666666666667" style="86" customWidth="1"/>
    <col min="5" max="5" width="8" style="86" customWidth="1"/>
    <col min="6" max="6" width="27.7777777777778" style="86" customWidth="1"/>
    <col min="7" max="7" width="15" style="86" customWidth="1"/>
    <col min="8" max="8" width="16.8888888888889" style="86" customWidth="1"/>
    <col min="9" max="9" width="8" style="86" customWidth="1"/>
    <col min="10" max="10" width="14.3333333333333" style="86" customWidth="1"/>
    <col min="11" max="11" width="17.3333333333333" style="86" customWidth="1"/>
    <col min="12" max="12" width="9.44444444444444" style="86" customWidth="1"/>
    <col min="13" max="13" width="8" style="86" customWidth="1"/>
    <col min="14" max="14" width="11.2222222222222" style="86" customWidth="1"/>
    <col min="15" max="15" width="15" style="86" customWidth="1"/>
    <col min="16" max="16" width="9.44444444444444" style="86" customWidth="1"/>
    <col min="17" max="16380" width="8" style="86" customWidth="1"/>
    <col min="16381" max="16384" width="8" style="86"/>
  </cols>
  <sheetData>
    <row r="1" ht="20.25" customHeight="1"/>
    <row r="2" s="85" customFormat="1" ht="26.25" customHeight="1" spans="2:18">
      <c r="B2" s="87" t="s">
        <v>226</v>
      </c>
      <c r="C2" s="88"/>
      <c r="D2" s="89"/>
      <c r="E2" s="90"/>
      <c r="F2" s="91" t="s">
        <v>227</v>
      </c>
      <c r="G2" s="92"/>
      <c r="H2" s="93"/>
      <c r="I2" s="90"/>
      <c r="J2" s="139" t="s">
        <v>228</v>
      </c>
      <c r="K2" s="92"/>
      <c r="L2" s="93"/>
      <c r="M2" s="90"/>
      <c r="N2" s="140" t="s">
        <v>229</v>
      </c>
      <c r="O2" s="92"/>
      <c r="P2" s="93"/>
      <c r="Q2" s="90"/>
      <c r="R2" s="90"/>
    </row>
    <row r="3" s="15" customFormat="1" ht="18" customHeight="1" spans="2:18">
      <c r="B3" s="94" t="s">
        <v>22</v>
      </c>
      <c r="C3" s="95" t="s">
        <v>230</v>
      </c>
      <c r="D3" s="96" t="s">
        <v>231</v>
      </c>
      <c r="E3" s="97"/>
      <c r="F3" s="98" t="s">
        <v>22</v>
      </c>
      <c r="G3" s="99" t="s">
        <v>230</v>
      </c>
      <c r="H3" s="100" t="s">
        <v>231</v>
      </c>
      <c r="I3" s="97"/>
      <c r="J3" s="141" t="s">
        <v>22</v>
      </c>
      <c r="K3" s="99" t="s">
        <v>230</v>
      </c>
      <c r="L3" s="142" t="s">
        <v>231</v>
      </c>
      <c r="M3" s="97"/>
      <c r="N3" s="141" t="s">
        <v>22</v>
      </c>
      <c r="O3" s="99" t="s">
        <v>230</v>
      </c>
      <c r="P3" s="142" t="s">
        <v>231</v>
      </c>
      <c r="Q3" s="97"/>
      <c r="R3" s="97"/>
    </row>
    <row r="4" s="15" customFormat="1" ht="18" customHeight="1" spans="2:18">
      <c r="B4" s="101" t="s">
        <v>7</v>
      </c>
      <c r="C4" s="102">
        <v>750</v>
      </c>
      <c r="D4" s="103">
        <f>SUM(C4:C19)</f>
        <v>2980</v>
      </c>
      <c r="E4" s="97"/>
      <c r="F4" s="187" t="s">
        <v>9</v>
      </c>
      <c r="G4" s="102">
        <v>450</v>
      </c>
      <c r="H4" s="105">
        <f>SUM(G4:G23)</f>
        <v>3000</v>
      </c>
      <c r="I4" s="97"/>
      <c r="J4" s="188" t="s">
        <v>11</v>
      </c>
      <c r="K4" s="102">
        <v>900</v>
      </c>
      <c r="L4" s="143">
        <f>SUM(K4:K23)</f>
        <v>2970</v>
      </c>
      <c r="M4" s="97"/>
      <c r="N4" s="188" t="s">
        <v>232</v>
      </c>
      <c r="O4" s="102">
        <v>800</v>
      </c>
      <c r="P4" s="144">
        <f>SUM(O4:O23)</f>
        <v>2370</v>
      </c>
      <c r="Q4" s="97"/>
      <c r="R4" s="97"/>
    </row>
    <row r="5" s="15" customFormat="1" ht="18" customHeight="1" spans="2:18">
      <c r="B5" s="106" t="str" cm="1">
        <f t="array" ref="B5:B15">IFERROR(_xlfn._xlws.FILTER(交易历史!$A$2:$A$200,交易历史!$F$2:$F$200="【CbHz】吃饱喝足就是玩"),"")</f>
        <v>GJY</v>
      </c>
      <c r="C5" s="107" cm="1">
        <f t="array" ref="C5:C15">IFERROR(_xlfn._xlws.FILTER(交易历史!$G$2:$G$200,交易历史!$C$2:$C$200="【CbHz】吃饱喝足就是玩"),"")</f>
        <v>0</v>
      </c>
      <c r="D5" s="108"/>
      <c r="E5" s="97"/>
      <c r="F5" s="109" t="str">
        <f t="array" ref="F5:F13">IFERROR(_xlfn._xlws.FILTER(交易历史!$A$2:$A$200,交易历史!$F$2:$F$200="【SSR】Superior Super Rare"),"")</f>
        <v>小鱼</v>
      </c>
      <c r="G5" s="110" cm="1">
        <f t="array" ref="G5:G13">IFERROR(_xlfn._xlws.FILTER(交易历史!$G$2:$G$200,交易历史!$F$2:$F$200="【SSR】Superior Super Rare"),"")</f>
        <v>80</v>
      </c>
      <c r="H5" s="108"/>
      <c r="I5" s="97"/>
      <c r="J5" s="145" t="str" cm="1">
        <f t="array" ref="J5:J15">IFERROR(_xlfn._xlws.FILTER(交易历史!$A$2:$A$200,交易历史!$F$2:$F$200="【OldH】老H犟嘴"),"")</f>
        <v>宝爹</v>
      </c>
      <c r="K5" s="146" cm="1">
        <f t="array" ref="K5:K15">IFERROR(_xlfn._xlws.FILTER(交易历史!$G$2:$G$200,交易历史!$F$2:$F$200="【OldH】老H犟嘴"),"")</f>
        <v>360</v>
      </c>
      <c r="L5" s="108"/>
      <c r="M5" s="97"/>
      <c r="N5" s="147" t="str" cm="1">
        <f t="array" ref="N5:N13">IFERROR(_xlfn._xlws.FILTER(交易历史!$A$2:$A$200,交易历史!$F$2:$F$200="【AWO】逃出生天"),"")</f>
        <v>Mengdong</v>
      </c>
      <c r="O5" s="148" cm="1">
        <f t="array" ref="O5:O13">IFERROR(_xlfn._xlws.FILTER(交易历史!$G$2:$G$200,交易历史!$F$2:$F$200="【AWO】逃出生天"),"")</f>
        <v>0</v>
      </c>
      <c r="P5" s="108"/>
      <c r="Q5" s="97"/>
      <c r="R5" s="97"/>
    </row>
    <row r="6" s="15" customFormat="1" ht="19.5" customHeight="1" spans="2:18">
      <c r="B6" s="106" t="str">
        <v>豆子</v>
      </c>
      <c r="C6" s="107">
        <v>660</v>
      </c>
      <c r="D6" s="108"/>
      <c r="E6" s="97"/>
      <c r="F6" s="109" t="str">
        <v>史蒂夫</v>
      </c>
      <c r="G6" s="110">
        <v>400</v>
      </c>
      <c r="H6" s="108"/>
      <c r="I6" s="97"/>
      <c r="J6" s="145" t="str">
        <v>苏西斯</v>
      </c>
      <c r="K6" s="146">
        <v>100</v>
      </c>
      <c r="L6" s="108"/>
      <c r="M6" s="97"/>
      <c r="N6" s="147" t="str">
        <v>HorN_kukuko
</v>
      </c>
      <c r="O6" s="148">
        <v>20</v>
      </c>
      <c r="P6" s="108"/>
      <c r="Q6" s="97"/>
      <c r="R6" s="97"/>
    </row>
    <row r="7" s="15" customFormat="1" ht="19.5" customHeight="1" spans="2:18">
      <c r="B7" s="106" t="str">
        <v>罗加</v>
      </c>
      <c r="C7" s="107">
        <v>0</v>
      </c>
      <c r="D7" s="108"/>
      <c r="E7" s="97"/>
      <c r="F7" s="109" t="str">
        <v>王水灵</v>
      </c>
      <c r="G7" s="110">
        <v>10</v>
      </c>
      <c r="H7" s="108"/>
      <c r="I7" s="97"/>
      <c r="J7" s="145" t="str">
        <v>Ezio</v>
      </c>
      <c r="K7" s="146">
        <v>30</v>
      </c>
      <c r="L7" s="108"/>
      <c r="M7" s="97"/>
      <c r="N7" s="147" t="str">
        <v>DH</v>
      </c>
      <c r="O7" s="148">
        <v>130</v>
      </c>
      <c r="P7" s="108"/>
      <c r="Q7" s="97"/>
      <c r="R7" s="97"/>
    </row>
    <row r="8" s="15" customFormat="1" ht="19.5" customHeight="1" spans="2:18">
      <c r="B8" s="106" t="str">
        <v>twocat</v>
      </c>
      <c r="C8" s="107">
        <v>0</v>
      </c>
      <c r="D8" s="108"/>
      <c r="E8" s="97"/>
      <c r="F8" s="109" t="str">
        <v>Luvv</v>
      </c>
      <c r="G8" s="110">
        <v>200</v>
      </c>
      <c r="H8" s="108"/>
      <c r="I8" s="97"/>
      <c r="J8" s="145" t="str">
        <v>KR_YuXuan</v>
      </c>
      <c r="K8" s="146">
        <v>500</v>
      </c>
      <c r="L8" s="108"/>
      <c r="M8" s="97"/>
      <c r="N8" s="147" t="str">
        <v>parrot</v>
      </c>
      <c r="O8" s="148">
        <v>80</v>
      </c>
      <c r="P8" s="108"/>
      <c r="Q8" s="97"/>
      <c r="R8" s="97"/>
    </row>
    <row r="9" s="15" customFormat="1" ht="19.5" customHeight="1" spans="2:18">
      <c r="B9" s="106" t="str">
        <v>jmz </v>
      </c>
      <c r="C9" s="107">
        <v>800</v>
      </c>
      <c r="D9" s="108"/>
      <c r="E9" s="97"/>
      <c r="F9" s="109" t="str">
        <v>艾拉AL</v>
      </c>
      <c r="G9" s="110">
        <v>10</v>
      </c>
      <c r="H9" s="108"/>
      <c r="I9" s="97"/>
      <c r="J9" s="145" t="str">
        <v>ai</v>
      </c>
      <c r="K9" s="146">
        <v>100</v>
      </c>
      <c r="L9" s="108"/>
      <c r="M9" s="97"/>
      <c r="N9" s="147" t="str">
        <v>城府</v>
      </c>
      <c r="O9" s="148">
        <v>190</v>
      </c>
      <c r="P9" s="108"/>
      <c r="Q9" s="97"/>
      <c r="R9" s="97"/>
    </row>
    <row r="10" s="15" customFormat="1" ht="37.5" customHeight="1" spans="2:18">
      <c r="B10" s="106" t="str">
        <v>baimayinqiang</v>
      </c>
      <c r="C10" s="107">
        <v>10</v>
      </c>
      <c r="D10" s="108"/>
      <c r="E10" s="97"/>
      <c r="F10" s="109" t="str">
        <v>骑砍皇帝</v>
      </c>
      <c r="G10" s="110">
        <v>700</v>
      </c>
      <c r="H10" s="108"/>
      <c r="I10" s="97"/>
      <c r="J10" s="145" t="str">
        <v>Motochika</v>
      </c>
      <c r="K10" s="146">
        <v>160</v>
      </c>
      <c r="L10" s="108"/>
      <c r="M10" s="97"/>
      <c r="N10" s="147" t="str">
        <v>knightzz</v>
      </c>
      <c r="O10" s="148">
        <v>850</v>
      </c>
      <c r="P10" s="108"/>
      <c r="Q10" s="97"/>
      <c r="R10" s="97"/>
    </row>
    <row r="11" s="15" customFormat="1" ht="19.5" customHeight="1" spans="2:18">
      <c r="B11" s="106" t="str">
        <v>IC</v>
      </c>
      <c r="C11" s="107">
        <v>500</v>
      </c>
      <c r="D11" s="108"/>
      <c r="E11" s="97"/>
      <c r="F11" s="109" t="str">
        <v>小捷豹</v>
      </c>
      <c r="G11" s="110">
        <v>40</v>
      </c>
      <c r="H11" s="108"/>
      <c r="I11" s="97"/>
      <c r="J11" s="145" t="str">
        <v>LSSL</v>
      </c>
      <c r="K11" s="146">
        <v>90</v>
      </c>
      <c r="L11" s="108"/>
      <c r="M11" s="97"/>
      <c r="N11" s="147" t="str">
        <v>退休老人野望</v>
      </c>
      <c r="O11" s="148">
        <v>90</v>
      </c>
      <c r="P11" s="108"/>
      <c r="Q11" s="97"/>
      <c r="R11" s="97"/>
    </row>
    <row r="12" s="15" customFormat="1" ht="19.5" customHeight="1" spans="2:18">
      <c r="B12" s="106" t="str">
        <v>xiaoye</v>
      </c>
      <c r="C12" s="107">
        <v>0</v>
      </c>
      <c r="D12" s="108"/>
      <c r="E12" s="97"/>
      <c r="F12" s="109" t="str">
        <v>威廉</v>
      </c>
      <c r="G12" s="110">
        <v>700</v>
      </c>
      <c r="H12" s="108"/>
      <c r="I12" s="97"/>
      <c r="J12" s="145" t="str">
        <v>shiran</v>
      </c>
      <c r="K12" s="146">
        <v>380</v>
      </c>
      <c r="L12" s="108"/>
      <c r="M12" s="97"/>
      <c r="N12" s="147" t="str">
        <v>比伯</v>
      </c>
      <c r="O12" s="148">
        <v>210</v>
      </c>
      <c r="P12" s="108"/>
      <c r="Q12" s="97"/>
      <c r="R12" s="97"/>
    </row>
    <row r="13" s="15" customFormat="1" ht="19.5" customHeight="1" spans="2:18">
      <c r="B13" s="106" t="str">
        <v>MANGOL</v>
      </c>
      <c r="C13" s="107">
        <v>250</v>
      </c>
      <c r="D13" s="108"/>
      <c r="E13" s="97"/>
      <c r="F13" s="109" t="str">
        <v>Able</v>
      </c>
      <c r="G13" s="110">
        <v>410</v>
      </c>
      <c r="H13" s="108"/>
      <c r="I13" s="97"/>
      <c r="J13" s="145" t="str">
        <v>havoc</v>
      </c>
      <c r="K13" s="146">
        <v>150</v>
      </c>
      <c r="L13" s="108"/>
      <c r="M13" s="97"/>
      <c r="N13" s="147" t="str">
        <v>XiaoRen</v>
      </c>
      <c r="O13" s="148">
        <v>0</v>
      </c>
      <c r="P13" s="108"/>
      <c r="Q13" s="97"/>
      <c r="R13" s="97"/>
    </row>
    <row r="14" s="15" customFormat="1" ht="19.5" customHeight="1" spans="2:18">
      <c r="B14" s="106" t="str">
        <v>芬克</v>
      </c>
      <c r="C14" s="107">
        <v>0</v>
      </c>
      <c r="D14" s="108"/>
      <c r="E14" s="97"/>
      <c r="F14" s="109"/>
      <c r="G14" s="110"/>
      <c r="H14" s="108"/>
      <c r="I14" s="97"/>
      <c r="J14" s="145" t="str">
        <v>1911/Dogmeat</v>
      </c>
      <c r="K14" s="146">
        <v>100</v>
      </c>
      <c r="L14" s="108"/>
      <c r="M14" s="97"/>
      <c r="N14" s="147"/>
      <c r="O14" s="148"/>
      <c r="P14" s="108"/>
      <c r="Q14" s="97"/>
      <c r="R14" s="97"/>
    </row>
    <row r="15" s="15" customFormat="1" ht="19.5" customHeight="1" spans="2:18">
      <c r="B15" s="106" t="str">
        <v>阿氰</v>
      </c>
      <c r="C15" s="107">
        <v>10</v>
      </c>
      <c r="D15" s="108"/>
      <c r="E15" s="97"/>
      <c r="F15" s="109"/>
      <c r="G15" s="110"/>
      <c r="H15" s="108"/>
      <c r="I15" s="97"/>
      <c r="J15" s="145" t="str">
        <v>大西瓜</v>
      </c>
      <c r="K15" s="146">
        <v>100</v>
      </c>
      <c r="L15" s="108"/>
      <c r="M15" s="97"/>
      <c r="N15" s="147"/>
      <c r="O15" s="148"/>
      <c r="P15" s="108"/>
      <c r="Q15" s="97"/>
      <c r="R15" s="97"/>
    </row>
    <row r="16" s="15" customFormat="1" ht="19.5" customHeight="1" spans="2:18">
      <c r="B16" s="106"/>
      <c r="C16" s="107"/>
      <c r="D16" s="108"/>
      <c r="E16" s="97"/>
      <c r="F16" s="109"/>
      <c r="G16" s="110"/>
      <c r="H16" s="108"/>
      <c r="I16" s="97"/>
      <c r="J16" s="145"/>
      <c r="K16" s="146"/>
      <c r="L16" s="108"/>
      <c r="M16" s="97"/>
      <c r="N16" s="147"/>
      <c r="O16" s="148"/>
      <c r="P16" s="108"/>
      <c r="Q16" s="97"/>
      <c r="R16" s="97"/>
    </row>
    <row r="17" s="15" customFormat="1" ht="19.5" customHeight="1" spans="2:18">
      <c r="B17" s="106"/>
      <c r="C17" s="107"/>
      <c r="D17" s="108"/>
      <c r="E17" s="97"/>
      <c r="F17" s="109"/>
      <c r="G17" s="110"/>
      <c r="H17" s="108"/>
      <c r="I17" s="97"/>
      <c r="J17" s="145"/>
      <c r="K17" s="146"/>
      <c r="L17" s="108"/>
      <c r="M17" s="97"/>
      <c r="N17" s="147"/>
      <c r="O17" s="148"/>
      <c r="P17" s="108"/>
      <c r="Q17" s="97"/>
      <c r="R17" s="97"/>
    </row>
    <row r="18" ht="19.5" customHeight="1" spans="2:18">
      <c r="B18" s="106"/>
      <c r="C18" s="107"/>
      <c r="D18" s="108"/>
      <c r="E18" s="111"/>
      <c r="F18" s="109"/>
      <c r="G18" s="110"/>
      <c r="H18" s="108"/>
      <c r="I18" s="111"/>
      <c r="J18" s="145"/>
      <c r="K18" s="146"/>
      <c r="L18" s="108"/>
      <c r="M18" s="111"/>
      <c r="N18" s="147"/>
      <c r="O18" s="148"/>
      <c r="P18" s="108"/>
      <c r="Q18" s="111"/>
      <c r="R18" s="111"/>
    </row>
    <row r="19" ht="19.5" customHeight="1" spans="2:18">
      <c r="B19" s="106"/>
      <c r="C19" s="107"/>
      <c r="D19" s="112"/>
      <c r="E19" s="111"/>
      <c r="F19" s="113"/>
      <c r="G19" s="114"/>
      <c r="H19" s="51"/>
      <c r="I19" s="111"/>
      <c r="J19" s="149"/>
      <c r="K19" s="150"/>
      <c r="L19" s="51"/>
      <c r="M19" s="111"/>
      <c r="N19" s="151"/>
      <c r="O19" s="152"/>
      <c r="P19" s="51"/>
      <c r="Q19" s="111"/>
      <c r="R19" s="111"/>
    </row>
    <row r="20" ht="15.75" customHeight="1" spans="2:18">
      <c r="B20" s="115" t="str">
        <f>IFERROR(_xlfn._xlws.FILTER(拍卖列表!$A$12:$A$144,拍卖列表!$F$12:$F$144="【AWO】逃出'生天"),"")</f>
        <v/>
      </c>
      <c r="C20" s="111" t="str">
        <f>IFERROR(_xlfn._xlws.FILTER(拍卖列表!$C$12:$C$144,拍卖列表!$F$12:$F$144="【AWO】逃出'生天"),"")</f>
        <v/>
      </c>
      <c r="D20" s="111"/>
      <c r="E20" s="111"/>
      <c r="F20" s="115"/>
      <c r="G20" s="115"/>
      <c r="H20" s="111"/>
      <c r="I20" s="111"/>
      <c r="J20" s="115"/>
      <c r="K20" s="115"/>
      <c r="L20" s="111"/>
      <c r="M20" s="111"/>
      <c r="N20" s="115"/>
      <c r="O20" s="115"/>
      <c r="P20" s="111"/>
      <c r="Q20" s="111"/>
      <c r="R20" s="111"/>
    </row>
    <row r="21" ht="15" customHeight="1" spans="2:18">
      <c r="B21" s="115" t="str">
        <f>IFERROR(_xlfn._xlws.FILTER(拍卖列表!$A$12:$A$144,拍卖列表!$F$12:$F$144="【AWO】逃出'生天"),"")</f>
        <v/>
      </c>
      <c r="C21" s="111" t="str">
        <f>IFERROR(_xlfn._xlws.FILTER(拍卖列表!$C$12:$C$144,拍卖列表!$F$12:$F$144="【AWO】逃出'生天"),"")</f>
        <v/>
      </c>
      <c r="D21" s="111"/>
      <c r="E21" s="111"/>
      <c r="F21" s="115"/>
      <c r="G21" s="115"/>
      <c r="H21" s="111"/>
      <c r="I21" s="111"/>
      <c r="J21" s="115"/>
      <c r="K21" s="115"/>
      <c r="L21" s="111"/>
      <c r="M21" s="111"/>
      <c r="N21" s="115"/>
      <c r="O21" s="115"/>
      <c r="P21" s="111"/>
      <c r="Q21" s="111"/>
      <c r="R21" s="111"/>
    </row>
    <row r="22" ht="15" customHeight="1" spans="2:18">
      <c r="B22" s="115" t="str">
        <f>IFERROR(_xlfn._xlws.FILTER(拍卖列表!$A$12:$A$144,拍卖列表!$F$12:$F$144="【AWO】逃出'生天"),"")</f>
        <v/>
      </c>
      <c r="C22" s="111" t="str">
        <f>IFERROR(_xlfn._xlws.FILTER(拍卖列表!$C$12:$C$144,拍卖列表!$F$12:$F$144="【AWO】逃出'生天"),"")</f>
        <v/>
      </c>
      <c r="D22" s="111"/>
      <c r="E22" s="111"/>
      <c r="F22" s="115"/>
      <c r="G22" s="115"/>
      <c r="H22" s="111"/>
      <c r="I22" s="111"/>
      <c r="J22" s="115"/>
      <c r="K22" s="115"/>
      <c r="L22" s="111"/>
      <c r="M22" s="111"/>
      <c r="N22" s="115"/>
      <c r="O22" s="115"/>
      <c r="P22" s="111"/>
      <c r="Q22" s="111"/>
      <c r="R22" s="111"/>
    </row>
    <row r="23" ht="15" customHeight="1" spans="2:18">
      <c r="B23" s="115" t="str">
        <f>IFERROR(_xlfn._xlws.FILTER(拍卖列表!$A$12:$A$144,拍卖列表!$F$12:$F$144="【AWO】逃出'生天"),"")</f>
        <v/>
      </c>
      <c r="C23" s="111" t="str">
        <f>IFERROR(_xlfn._xlws.FILTER(拍卖列表!$C$12:$C$144,拍卖列表!$F$12:$F$144="【AWO】逃出'生天"),"")</f>
        <v/>
      </c>
      <c r="D23" s="111"/>
      <c r="E23" s="111"/>
      <c r="F23" s="115"/>
      <c r="G23" s="115"/>
      <c r="H23" s="111"/>
      <c r="I23" s="111"/>
      <c r="J23" s="115"/>
      <c r="K23" s="115"/>
      <c r="L23" s="111"/>
      <c r="M23" s="111"/>
      <c r="N23" s="115"/>
      <c r="O23" s="115"/>
      <c r="P23" s="111"/>
      <c r="Q23" s="111"/>
      <c r="R23" s="111"/>
    </row>
    <row r="24" ht="15" customHeight="1" spans="2:18">
      <c r="B24" s="115" t="str">
        <f>IFERROR(_xlfn._xlws.FILTER(拍卖列表!$A$12:$A$144,拍卖列表!$F$12:$F$144="【AWO】逃出'生天"),"")</f>
        <v/>
      </c>
      <c r="C24" s="111" t="str">
        <f>IFERROR(_xlfn._xlws.FILTER(拍卖列表!$C$12:$C$144,拍卖列表!$F$12:$F$144="【AWO】逃出'生天"),"")</f>
        <v/>
      </c>
      <c r="D24" s="111"/>
      <c r="E24" s="111"/>
      <c r="F24" s="115"/>
      <c r="G24" s="115"/>
      <c r="H24" s="111"/>
      <c r="I24" s="111"/>
      <c r="J24" s="115"/>
      <c r="K24" s="115"/>
      <c r="L24" s="111"/>
      <c r="M24" s="111"/>
      <c r="N24" s="115"/>
      <c r="O24" s="115"/>
      <c r="P24" s="111"/>
      <c r="Q24" s="111"/>
      <c r="R24" s="111"/>
    </row>
    <row r="25" ht="15" customHeight="1" spans="2:18">
      <c r="B25" s="115" t="str">
        <f>IFERROR(_xlfn._xlws.FILTER(拍卖列表!$A$12:$A$144,拍卖列表!$F$12:$F$144="【AWO】逃出'生天"),"")</f>
        <v/>
      </c>
      <c r="C25" s="111" t="str">
        <f>IFERROR(_xlfn._xlws.FILTER(拍卖列表!$C$12:$C$144,拍卖列表!$F$12:$F$144="【AWO】逃出'生天"),"")</f>
        <v/>
      </c>
      <c r="D25" s="111"/>
      <c r="E25" s="111"/>
      <c r="F25" s="115"/>
      <c r="G25" s="115"/>
      <c r="H25" s="111"/>
      <c r="I25" s="111"/>
      <c r="J25" s="115"/>
      <c r="K25" s="115"/>
      <c r="L25" s="111"/>
      <c r="M25" s="111"/>
      <c r="N25" s="115"/>
      <c r="O25" s="115"/>
      <c r="P25" s="111"/>
      <c r="Q25" s="111"/>
      <c r="R25" s="111"/>
    </row>
    <row r="26" ht="15" customHeight="1" spans="2:18">
      <c r="B26" s="115" t="str">
        <f>IFERROR(_xlfn._xlws.FILTER(拍卖列表!$A$12:$A$144,拍卖列表!$F$12:$F$144="【AWO】逃出'生天"),"")</f>
        <v/>
      </c>
      <c r="C26" s="111" t="str">
        <f>IFERROR(_xlfn._xlws.FILTER(拍卖列表!$C$12:$C$144,拍卖列表!$F$12:$F$144="【AWO】逃出'生天"),"")</f>
        <v/>
      </c>
      <c r="D26" s="111"/>
      <c r="E26" s="111"/>
      <c r="F26" s="115"/>
      <c r="G26" s="115"/>
      <c r="H26" s="111"/>
      <c r="I26" s="111"/>
      <c r="J26" s="115"/>
      <c r="K26" s="115"/>
      <c r="L26" s="111"/>
      <c r="M26" s="111"/>
      <c r="N26" s="115"/>
      <c r="O26" s="115"/>
      <c r="P26" s="111"/>
      <c r="Q26" s="111"/>
      <c r="R26" s="111"/>
    </row>
    <row r="27" ht="15" customHeight="1" spans="2:18">
      <c r="B27" s="115" t="str">
        <f>IFERROR(_xlfn._xlws.FILTER(拍卖列表!$A$12:$A$144,拍卖列表!$F$12:$F$144="【AWO】逃出'生天"),"")</f>
        <v/>
      </c>
      <c r="C27" s="111" t="str">
        <f>IFERROR(_xlfn._xlws.FILTER(拍卖列表!$C$12:$C$144,拍卖列表!$F$12:$F$144="【AWO】逃出'生天"),"")</f>
        <v/>
      </c>
      <c r="D27" s="111"/>
      <c r="E27" s="111"/>
      <c r="F27" s="115"/>
      <c r="G27" s="115"/>
      <c r="H27" s="111"/>
      <c r="I27" s="111"/>
      <c r="J27" s="115"/>
      <c r="K27" s="115"/>
      <c r="L27" s="111"/>
      <c r="M27" s="111"/>
      <c r="N27" s="115"/>
      <c r="O27" s="115"/>
      <c r="P27" s="111"/>
      <c r="Q27" s="111"/>
      <c r="R27" s="111"/>
    </row>
    <row r="28" ht="15" customHeight="1" spans="2:18">
      <c r="B28" s="115" t="str">
        <f>IFERROR(_xlfn._xlws.FILTER(拍卖列表!$A$12:$A$144,拍卖列表!$F$12:$F$144="【AWO】逃出'生天"),"")</f>
        <v/>
      </c>
      <c r="C28" s="111" t="str">
        <f>IFERROR(_xlfn._xlws.FILTER(拍卖列表!$C$12:$C$144,拍卖列表!$F$12:$F$144="【AWO】逃出'生天"),"")</f>
        <v/>
      </c>
      <c r="D28" s="111"/>
      <c r="E28" s="111"/>
      <c r="F28" s="115"/>
      <c r="G28" s="115"/>
      <c r="H28" s="111"/>
      <c r="I28" s="111"/>
      <c r="J28" s="115"/>
      <c r="K28" s="115"/>
      <c r="L28" s="111"/>
      <c r="M28" s="111"/>
      <c r="N28" s="115"/>
      <c r="O28" s="115"/>
      <c r="P28" s="111"/>
      <c r="Q28" s="111"/>
      <c r="R28" s="111"/>
    </row>
    <row r="29" ht="15" customHeight="1" spans="2:18">
      <c r="B29" s="111" t="str">
        <f>IFERROR(_xlfn._xlws.FILTER(拍卖列表!$A$12:$A$144,拍卖列表!$F$12:$F$144="【AWO】逃出'生天"),"")</f>
        <v/>
      </c>
      <c r="C29" s="111" t="str">
        <f>IFERROR(_xlfn._xlws.FILTER(拍卖列表!$C$12:$C$144,拍卖列表!$F$12:$F$144="【AWO】逃出'生天"),"")</f>
        <v/>
      </c>
      <c r="D29" s="111"/>
      <c r="E29" s="111"/>
      <c r="F29" s="115"/>
      <c r="G29" s="115"/>
      <c r="H29" s="111"/>
      <c r="I29" s="111"/>
      <c r="J29" s="115"/>
      <c r="K29" s="115"/>
      <c r="L29" s="111"/>
      <c r="M29" s="111"/>
      <c r="N29" s="115"/>
      <c r="O29" s="115"/>
      <c r="P29" s="111"/>
      <c r="Q29" s="111"/>
      <c r="R29" s="111"/>
    </row>
    <row r="30" ht="15" customHeight="1" spans="2:18">
      <c r="B30" s="111" t="str">
        <f>IFERROR(_xlfn._xlws.FILTER(拍卖列表!$A$12:$A$144,拍卖列表!$F$12:$F$144="【AWO】逃出'生天"),"")</f>
        <v/>
      </c>
      <c r="C30" s="111" t="str">
        <f>IFERROR(_xlfn._xlws.FILTER(拍卖列表!$C$12:$C$144,拍卖列表!$F$12:$F$144="【AWO】逃出'生天"),"")</f>
        <v/>
      </c>
      <c r="D30" s="111"/>
      <c r="E30" s="111"/>
      <c r="F30" s="115"/>
      <c r="G30" s="115"/>
      <c r="H30" s="111"/>
      <c r="I30" s="111"/>
      <c r="J30" s="115"/>
      <c r="K30" s="115"/>
      <c r="L30" s="111"/>
      <c r="M30" s="111"/>
      <c r="N30" s="115"/>
      <c r="O30" s="115"/>
      <c r="P30" s="111"/>
      <c r="Q30" s="111"/>
      <c r="R30" s="111"/>
    </row>
    <row r="31" ht="15" customHeight="1" spans="2:18">
      <c r="B31" s="111" t="str">
        <f>IFERROR(_xlfn._xlws.FILTER(拍卖列表!$A$12:$A$144,拍卖列表!$F$12:$F$144="【AWO】逃出'生天"),"")</f>
        <v/>
      </c>
      <c r="C31" s="111" t="str">
        <f>IFERROR(_xlfn._xlws.FILTER(拍卖列表!$C$12:$C$144,拍卖列表!$F$12:$F$144="【AWO】逃出'生天"),"")</f>
        <v/>
      </c>
      <c r="D31" s="111"/>
      <c r="E31" s="111"/>
      <c r="F31" s="115"/>
      <c r="G31" s="115"/>
      <c r="H31" s="111"/>
      <c r="I31" s="111"/>
      <c r="J31" s="115"/>
      <c r="K31" s="115"/>
      <c r="L31" s="111"/>
      <c r="M31" s="111"/>
      <c r="N31" s="115"/>
      <c r="O31" s="115"/>
      <c r="P31" s="111"/>
      <c r="Q31" s="111"/>
      <c r="R31" s="111"/>
    </row>
    <row r="32" ht="15" customHeight="1" spans="2:18">
      <c r="B32" s="111" t="str">
        <f>IFERROR(_xlfn._xlws.FILTER(拍卖列表!$A$12:$A$144,拍卖列表!$F$12:$F$144="【AWO】逃出'生天"),"")</f>
        <v/>
      </c>
      <c r="C32" s="111" t="str">
        <f>IFERROR(_xlfn._xlws.FILTER(拍卖列表!$C$12:$C$144,拍卖列表!$F$12:$F$144="【AWO】逃出'生天"),"")</f>
        <v/>
      </c>
      <c r="D32" s="111"/>
      <c r="E32" s="111"/>
      <c r="F32" s="115"/>
      <c r="G32" s="115"/>
      <c r="H32" s="111"/>
      <c r="I32" s="111"/>
      <c r="J32" s="115"/>
      <c r="K32" s="115"/>
      <c r="L32" s="111"/>
      <c r="M32" s="111"/>
      <c r="N32" s="115"/>
      <c r="O32" s="115"/>
      <c r="P32" s="111"/>
      <c r="Q32" s="111"/>
      <c r="R32" s="111"/>
    </row>
    <row r="33" ht="15.75" customHeight="1" spans="2:18">
      <c r="B33" s="111" t="str">
        <f>IFERROR(_xlfn._xlws.FILTER(拍卖列表!$A$12:$A$144,拍卖列表!$F$12:$F$144="【AWO】逃出'生天"),"")</f>
        <v/>
      </c>
      <c r="C33" s="111" t="str">
        <f>IFERROR(_xlfn._xlws.FILTER(拍卖列表!$C$12:$C$144,拍卖列表!$F$12:$F$144="【AWO】逃出'生天"),"")</f>
        <v/>
      </c>
      <c r="D33" s="111"/>
      <c r="E33" s="111"/>
      <c r="F33" s="115"/>
      <c r="G33" s="115"/>
      <c r="H33" s="111"/>
      <c r="I33" s="111"/>
      <c r="J33" s="115"/>
      <c r="K33" s="115"/>
      <c r="L33" s="111"/>
      <c r="M33" s="111"/>
      <c r="N33" s="115"/>
      <c r="O33" s="115"/>
      <c r="P33" s="111"/>
      <c r="Q33" s="111"/>
      <c r="R33" s="111"/>
    </row>
    <row r="34" s="85" customFormat="1" ht="26.25" customHeight="1" spans="2:18">
      <c r="B34" s="116" t="s">
        <v>233</v>
      </c>
      <c r="C34" s="88"/>
      <c r="D34" s="117"/>
      <c r="E34" s="118"/>
      <c r="F34" s="119" t="s">
        <v>234</v>
      </c>
      <c r="G34" s="88"/>
      <c r="H34" s="117"/>
      <c r="I34" s="118"/>
      <c r="J34" s="153" t="s">
        <v>235</v>
      </c>
      <c r="K34" s="88"/>
      <c r="L34" s="117"/>
      <c r="M34" s="118"/>
      <c r="N34" s="154" t="s">
        <v>236</v>
      </c>
      <c r="O34" s="88"/>
      <c r="P34" s="117"/>
      <c r="Q34" s="90"/>
      <c r="R34" s="90"/>
    </row>
    <row r="35" s="15" customFormat="1" ht="18" customHeight="1" spans="2:18">
      <c r="B35" s="120" t="s">
        <v>22</v>
      </c>
      <c r="C35" s="121" t="s">
        <v>230</v>
      </c>
      <c r="D35" s="122" t="s">
        <v>231</v>
      </c>
      <c r="E35" s="97"/>
      <c r="F35" s="120" t="s">
        <v>22</v>
      </c>
      <c r="G35" s="121" t="s">
        <v>230</v>
      </c>
      <c r="H35" s="122" t="s">
        <v>231</v>
      </c>
      <c r="I35" s="127"/>
      <c r="J35" s="120" t="s">
        <v>22</v>
      </c>
      <c r="K35" s="121" t="s">
        <v>230</v>
      </c>
      <c r="L35" s="122" t="s">
        <v>231</v>
      </c>
      <c r="M35" s="127"/>
      <c r="N35" s="120" t="s">
        <v>22</v>
      </c>
      <c r="O35" s="121" t="s">
        <v>230</v>
      </c>
      <c r="P35" s="122" t="s">
        <v>231</v>
      </c>
      <c r="Q35" s="97"/>
      <c r="R35" s="97"/>
    </row>
    <row r="36" s="15" customFormat="1" ht="18" customHeight="1" spans="2:18">
      <c r="B36" s="188" t="s">
        <v>237</v>
      </c>
      <c r="C36" s="102">
        <v>800</v>
      </c>
      <c r="D36" s="123">
        <f>SUM(C36:C55)</f>
        <v>2910</v>
      </c>
      <c r="E36" s="97"/>
      <c r="F36" s="188" t="s">
        <v>238</v>
      </c>
      <c r="G36" s="102">
        <v>800</v>
      </c>
      <c r="H36" s="124">
        <f>SUM(G36:G55)</f>
        <v>2910</v>
      </c>
      <c r="I36" s="127"/>
      <c r="J36" s="188" t="s">
        <v>19</v>
      </c>
      <c r="K36" s="102">
        <v>250</v>
      </c>
      <c r="L36" s="155">
        <f>SUM(K36:K54)</f>
        <v>2350</v>
      </c>
      <c r="M36" s="127"/>
      <c r="N36" s="188" t="s">
        <v>239</v>
      </c>
      <c r="O36" s="102">
        <v>300</v>
      </c>
      <c r="P36" s="156">
        <f>SUM(O36:O54)</f>
        <v>2640</v>
      </c>
      <c r="Q36" s="97"/>
      <c r="R36" s="97"/>
    </row>
    <row r="37" s="15" customFormat="1" ht="18" customHeight="1" spans="2:18">
      <c r="B37" s="125" t="str" cm="1">
        <f t="array" ref="B37:B47">IFERROR(_xlfn._xlws.FILTER(交易历史!$A$2:$A$200,交易历史!$F$2:$F$200="【G2】G2"),"")</f>
        <v>xiaoliyu</v>
      </c>
      <c r="C37" s="126" cm="1">
        <f t="array" ref="C37:C47">IFERROR(_xlfn._xlws.FILTER(交易历史!$G$2:$G$200,交易历史!$F$2:$F$200="【G2】G2"),"")</f>
        <v>0</v>
      </c>
      <c r="D37" s="108"/>
      <c r="E37" s="127"/>
      <c r="F37" s="128" t="str" cm="1">
        <f t="array" ref="F37:F47">IFERROR(_xlfn._xlws.FILTER(交易历史!$A$2:$A$200,交易历史!$F$2:$F$200="【TV】Team Vitality"),"")</f>
        <v>f4</v>
      </c>
      <c r="G37" s="129" cm="1">
        <f t="array" ref="G37:G47">IFERROR(_xlfn._xlws.FILTER(交易历史!$G$2:$G$200,交易历史!$F$2:$F$200="【TV】Team Vitality"),"")</f>
        <v>600</v>
      </c>
      <c r="H37" s="108"/>
      <c r="I37" s="127"/>
      <c r="J37" s="157" t="str" cm="1">
        <f t="array" ref="J37:J46">IFERROR(_xlfn._xlws.FILTER(交易历史!$A$2:$A$200,交易历史!$F$2:$F$200="【Miniworld】迷你世界"),"")</f>
        <v>哭丧</v>
      </c>
      <c r="K37" s="158" cm="1">
        <f t="array" ref="K37:K46">IFERROR(_xlfn._xlws.FILTER(交易历史!$G$2:$G$200,交易历史!$F$2:$F$200="【Miniworld】迷你世界"),"")</f>
        <v>80</v>
      </c>
      <c r="L37" s="108"/>
      <c r="M37" s="127"/>
      <c r="N37" s="159" t="str" cm="1">
        <f t="array" ref="N37:N46">IFERROR(_xlfn._xlws.FILTER(交易历史!$A$2:$A$200,交易历史!$F$2:$F$200="【NikoFC】NikoCN Fanclub"),"")</f>
        <v>awe23</v>
      </c>
      <c r="O37" s="160" cm="1">
        <f t="array" ref="O37:O46">IFERROR(_xlfn._xlws.FILTER(交易历史!$G$2:$G$200,交易历史!$F$2:$F$200="【NikoFC】NikoCN Fanclub"),"")</f>
        <v>320</v>
      </c>
      <c r="P37" s="108"/>
      <c r="Q37" s="97"/>
      <c r="R37" s="97"/>
    </row>
    <row r="38" s="15" customFormat="1" ht="19.5" customHeight="1" spans="2:18">
      <c r="B38" s="130" t="str">
        <v>233laoye</v>
      </c>
      <c r="C38" s="131">
        <v>1000</v>
      </c>
      <c r="D38" s="108"/>
      <c r="E38" s="127"/>
      <c r="F38" s="132" t="str">
        <v>abin</v>
      </c>
      <c r="G38" s="133">
        <v>10</v>
      </c>
      <c r="H38" s="108"/>
      <c r="I38" s="127"/>
      <c r="J38" s="161" t="str">
        <v>Tatum</v>
      </c>
      <c r="K38" s="162">
        <v>350</v>
      </c>
      <c r="L38" s="108"/>
      <c r="M38" s="127"/>
      <c r="N38" s="163" t="str">
        <v>Bonaoart</v>
      </c>
      <c r="O38" s="164">
        <v>100</v>
      </c>
      <c r="P38" s="108"/>
      <c r="Q38" s="97"/>
      <c r="R38" s="97"/>
    </row>
    <row r="39" s="15" customFormat="1" ht="19.5" customHeight="1" spans="2:18">
      <c r="B39" s="130" t="str">
        <v>500</v>
      </c>
      <c r="C39" s="131">
        <v>0</v>
      </c>
      <c r="D39" s="108"/>
      <c r="E39" s="127"/>
      <c r="F39" s="132" t="str">
        <v>AP-20</v>
      </c>
      <c r="G39" s="133">
        <v>20</v>
      </c>
      <c r="H39" s="108"/>
      <c r="I39" s="127"/>
      <c r="J39" s="161" t="str">
        <v>KillerQuin</v>
      </c>
      <c r="K39" s="162">
        <v>20</v>
      </c>
      <c r="L39" s="108"/>
      <c r="M39" s="127"/>
      <c r="N39" s="163" t="str">
        <v>果猫</v>
      </c>
      <c r="O39" s="164">
        <v>540</v>
      </c>
      <c r="P39" s="108"/>
      <c r="Q39" s="97"/>
      <c r="R39" s="97"/>
    </row>
    <row r="40" s="15" customFormat="1" ht="19.5" customHeight="1" spans="2:18">
      <c r="B40" s="130" t="str">
        <v>Yoshino</v>
      </c>
      <c r="C40" s="131">
        <v>350</v>
      </c>
      <c r="D40" s="108"/>
      <c r="E40" s="127"/>
      <c r="F40" s="132" t="str">
        <v>孟起</v>
      </c>
      <c r="G40" s="133">
        <v>20</v>
      </c>
      <c r="H40" s="108"/>
      <c r="I40" s="127"/>
      <c r="J40" s="161" t="str">
        <v>老鱼</v>
      </c>
      <c r="K40" s="162">
        <v>40</v>
      </c>
      <c r="L40" s="108"/>
      <c r="M40" s="127"/>
      <c r="N40" s="163" t="str">
        <v>Mliya</v>
      </c>
      <c r="O40" s="164">
        <v>50</v>
      </c>
      <c r="P40" s="108"/>
      <c r="Q40" s="97"/>
      <c r="R40" s="97"/>
    </row>
    <row r="41" s="15" customFormat="1" ht="19.5" customHeight="1" spans="2:18">
      <c r="B41" s="130" t="str">
        <v>末影</v>
      </c>
      <c r="C41" s="131">
        <v>190</v>
      </c>
      <c r="D41" s="108"/>
      <c r="E41" s="127"/>
      <c r="F41" s="132" t="str">
        <v>Charlotte</v>
      </c>
      <c r="G41" s="133">
        <v>60</v>
      </c>
      <c r="H41" s="108"/>
      <c r="I41" s="127"/>
      <c r="J41" s="161" t="str">
        <v>AQI</v>
      </c>
      <c r="K41" s="162">
        <v>20</v>
      </c>
      <c r="L41" s="108"/>
      <c r="M41" s="127"/>
      <c r="N41" s="163" t="str">
        <v>YQS_dou_dou</v>
      </c>
      <c r="O41" s="164">
        <v>30</v>
      </c>
      <c r="P41" s="108"/>
      <c r="Q41" s="97"/>
      <c r="R41" s="97"/>
    </row>
    <row r="42" s="15" customFormat="1" ht="19.5" customHeight="1" spans="2:18">
      <c r="B42" s="130" t="str">
        <v>大聪明、呆呆</v>
      </c>
      <c r="C42" s="131">
        <v>400</v>
      </c>
      <c r="D42" s="108"/>
      <c r="E42" s="127"/>
      <c r="F42" s="132" t="str">
        <v>Lezalit</v>
      </c>
      <c r="G42" s="133">
        <v>1000</v>
      </c>
      <c r="H42" s="108"/>
      <c r="I42" s="127"/>
      <c r="J42" s="161" t="str">
        <v>Add</v>
      </c>
      <c r="K42" s="162">
        <v>60</v>
      </c>
      <c r="L42" s="108"/>
      <c r="M42" s="127"/>
      <c r="N42" s="163" t="str">
        <v>淫荡</v>
      </c>
      <c r="O42" s="164">
        <v>510</v>
      </c>
      <c r="P42" s="108"/>
      <c r="Q42" s="97"/>
      <c r="R42" s="97"/>
    </row>
    <row r="43" s="15" customFormat="1" ht="19.5" customHeight="1" spans="2:18">
      <c r="B43" s="130" t="str">
        <v>Maverick</v>
      </c>
      <c r="C43" s="131">
        <v>140</v>
      </c>
      <c r="D43" s="108"/>
      <c r="E43" s="127"/>
      <c r="F43" s="132" t="str">
        <v>天帝哥哥</v>
      </c>
      <c r="G43" s="133">
        <v>10</v>
      </c>
      <c r="H43" s="108"/>
      <c r="I43" s="127"/>
      <c r="J43" s="161" t="str">
        <v>Goganpa</v>
      </c>
      <c r="K43" s="162">
        <v>30</v>
      </c>
      <c r="L43" s="108"/>
      <c r="M43" s="127"/>
      <c r="N43" s="163" t="str">
        <v>comet</v>
      </c>
      <c r="O43" s="164">
        <v>760</v>
      </c>
      <c r="P43" s="108"/>
      <c r="Q43" s="97"/>
      <c r="R43" s="97"/>
    </row>
    <row r="44" s="15" customFormat="1" ht="19.5" customHeight="1" spans="2:18">
      <c r="B44" s="130" t="str">
        <v>回火的头盖骨</v>
      </c>
      <c r="C44" s="131">
        <v>0</v>
      </c>
      <c r="D44" s="108"/>
      <c r="E44" s="127"/>
      <c r="F44" s="132" t="str">
        <v>冷夜</v>
      </c>
      <c r="G44" s="133">
        <v>20</v>
      </c>
      <c r="H44" s="108"/>
      <c r="I44" s="127"/>
      <c r="J44" s="161" t="str">
        <v>diyuluguan</v>
      </c>
      <c r="K44" s="162">
        <v>300</v>
      </c>
      <c r="L44" s="108"/>
      <c r="M44" s="127"/>
      <c r="N44" s="163" t="str">
        <v>Gad_ALiang</v>
      </c>
      <c r="O44" s="164">
        <v>10</v>
      </c>
      <c r="P44" s="108"/>
      <c r="Q44" s="97"/>
      <c r="R44" s="97"/>
    </row>
    <row r="45" s="15" customFormat="1" ht="19.5" customHeight="1" spans="2:18">
      <c r="B45" s="130" t="str">
        <v>chengcheng</v>
      </c>
      <c r="C45" s="131">
        <v>10</v>
      </c>
      <c r="D45" s="108"/>
      <c r="E45" s="127"/>
      <c r="F45" s="132" t="str">
        <v>sy72sdf</v>
      </c>
      <c r="G45" s="133">
        <v>120</v>
      </c>
      <c r="H45" s="108"/>
      <c r="I45" s="127"/>
      <c r="J45" s="161" t="str">
        <v>卡皇</v>
      </c>
      <c r="K45" s="162">
        <v>850</v>
      </c>
      <c r="L45" s="108"/>
      <c r="M45" s="127"/>
      <c r="N45" s="163" t="str">
        <v>KT_riva</v>
      </c>
      <c r="O45" s="164">
        <v>10</v>
      </c>
      <c r="P45" s="108"/>
      <c r="Q45" s="97"/>
      <c r="R45" s="97"/>
    </row>
    <row r="46" s="15" customFormat="1" ht="19.5" customHeight="1" spans="2:18">
      <c r="B46" s="130" t="str">
        <v>Smile</v>
      </c>
      <c r="C46" s="131">
        <v>0</v>
      </c>
      <c r="D46" s="108"/>
      <c r="E46" s="127"/>
      <c r="F46" s="132" t="str">
        <v>凯德</v>
      </c>
      <c r="G46" s="133">
        <v>120</v>
      </c>
      <c r="H46" s="108"/>
      <c r="I46" s="127"/>
      <c r="J46" s="161" t="str">
        <v>苏雨晴</v>
      </c>
      <c r="K46" s="162">
        <v>350</v>
      </c>
      <c r="L46" s="108"/>
      <c r="M46" s="127"/>
      <c r="N46" s="163" t="str">
        <v>lirene</v>
      </c>
      <c r="O46" s="164">
        <v>10</v>
      </c>
      <c r="P46" s="108"/>
      <c r="Q46" s="97"/>
      <c r="R46" s="97"/>
    </row>
    <row r="47" s="15" customFormat="1" ht="19.5" customHeight="1" spans="2:18">
      <c r="B47" s="130" t="str">
        <v>武田</v>
      </c>
      <c r="C47" s="131">
        <v>20</v>
      </c>
      <c r="D47" s="108"/>
      <c r="E47" s="127"/>
      <c r="F47" s="132" t="str">
        <v>mama</v>
      </c>
      <c r="G47" s="133">
        <v>130</v>
      </c>
      <c r="H47" s="108"/>
      <c r="I47" s="127"/>
      <c r="J47" s="161"/>
      <c r="K47" s="162"/>
      <c r="L47" s="108"/>
      <c r="M47" s="127"/>
      <c r="N47" s="163"/>
      <c r="O47" s="164"/>
      <c r="P47" s="108"/>
      <c r="Q47" s="97"/>
      <c r="R47" s="97"/>
    </row>
    <row r="48" s="15" customFormat="1" ht="19.5" customHeight="1" spans="2:18">
      <c r="B48" s="130"/>
      <c r="C48" s="131"/>
      <c r="D48" s="108"/>
      <c r="E48" s="127"/>
      <c r="F48" s="132"/>
      <c r="G48" s="133"/>
      <c r="H48" s="108"/>
      <c r="I48" s="127"/>
      <c r="J48" s="161"/>
      <c r="K48" s="162"/>
      <c r="L48" s="108"/>
      <c r="M48" s="127"/>
      <c r="N48" s="163"/>
      <c r="O48" s="164"/>
      <c r="P48" s="108"/>
      <c r="Q48" s="97"/>
      <c r="R48" s="97"/>
    </row>
    <row r="49" ht="19.5" customHeight="1" spans="2:18">
      <c r="B49" s="130"/>
      <c r="C49" s="131"/>
      <c r="D49" s="108"/>
      <c r="E49" s="111"/>
      <c r="F49" s="132"/>
      <c r="G49" s="133"/>
      <c r="H49" s="108"/>
      <c r="I49" s="111"/>
      <c r="J49" s="161"/>
      <c r="K49" s="162"/>
      <c r="L49" s="108"/>
      <c r="M49" s="111"/>
      <c r="N49" s="163"/>
      <c r="O49" s="164"/>
      <c r="P49" s="108"/>
      <c r="Q49" s="111"/>
      <c r="R49" s="111"/>
    </row>
    <row r="50" ht="19.5" customHeight="1" spans="2:18">
      <c r="B50" s="130"/>
      <c r="C50" s="131"/>
      <c r="D50" s="108"/>
      <c r="E50" s="111"/>
      <c r="F50" s="132"/>
      <c r="G50" s="133"/>
      <c r="H50" s="108"/>
      <c r="I50" s="111"/>
      <c r="J50" s="161"/>
      <c r="K50" s="162"/>
      <c r="L50" s="108"/>
      <c r="M50" s="111"/>
      <c r="N50" s="163"/>
      <c r="O50" s="164"/>
      <c r="P50" s="108"/>
      <c r="Q50" s="111"/>
      <c r="R50" s="111"/>
    </row>
    <row r="51" ht="19.5" customHeight="1" spans="2:18">
      <c r="B51" s="134"/>
      <c r="C51" s="135"/>
      <c r="D51" s="136"/>
      <c r="E51" s="111"/>
      <c r="F51" s="137"/>
      <c r="G51" s="138"/>
      <c r="H51" s="136"/>
      <c r="I51" s="111"/>
      <c r="J51" s="165"/>
      <c r="K51" s="166"/>
      <c r="L51" s="136"/>
      <c r="M51" s="111"/>
      <c r="N51" s="167"/>
      <c r="O51" s="168"/>
      <c r="P51" s="136"/>
      <c r="Q51" s="111"/>
      <c r="R51" s="111"/>
    </row>
    <row r="52" ht="15.75" customHeight="1" spans="2:18">
      <c r="B52" s="111"/>
      <c r="C52" s="111"/>
      <c r="D52" s="111"/>
      <c r="E52" s="111"/>
      <c r="F52" s="111"/>
      <c r="G52" s="111"/>
      <c r="H52" s="111"/>
      <c r="I52" s="111"/>
      <c r="J52" s="115"/>
      <c r="K52" s="111"/>
      <c r="L52" s="111"/>
      <c r="M52" s="111"/>
      <c r="N52" s="111"/>
      <c r="O52" s="111"/>
      <c r="P52" s="111"/>
      <c r="Q52" s="111"/>
      <c r="R52" s="111"/>
    </row>
    <row r="53" ht="15" customHeight="1" spans="2:18">
      <c r="B53" s="111"/>
      <c r="C53" s="111"/>
      <c r="D53" s="111"/>
      <c r="E53" s="111"/>
      <c r="F53" s="111"/>
      <c r="G53" s="111"/>
      <c r="H53" s="111"/>
      <c r="I53" s="111"/>
      <c r="J53" s="115"/>
      <c r="K53" s="111"/>
      <c r="L53" s="111"/>
      <c r="M53" s="111"/>
      <c r="N53" s="111"/>
      <c r="O53" s="111"/>
      <c r="P53" s="111"/>
      <c r="Q53" s="111"/>
      <c r="R53" s="111"/>
    </row>
    <row r="54" ht="15" customHeight="1" spans="2:18">
      <c r="B54" s="111"/>
      <c r="C54" s="111"/>
      <c r="D54" s="111"/>
      <c r="E54" s="111"/>
      <c r="F54" s="111"/>
      <c r="G54" s="111"/>
      <c r="H54" s="111"/>
      <c r="I54" s="111"/>
      <c r="J54" s="115"/>
      <c r="K54" s="111"/>
      <c r="L54" s="111"/>
      <c r="M54" s="111"/>
      <c r="N54" s="111"/>
      <c r="O54" s="111"/>
      <c r="P54" s="111"/>
      <c r="Q54" s="111"/>
      <c r="R54" s="111"/>
    </row>
    <row r="55" ht="15" customHeight="1" spans="2:18">
      <c r="B55" s="111"/>
      <c r="C55" s="111"/>
      <c r="D55" s="111"/>
      <c r="E55" s="111"/>
      <c r="F55" s="111"/>
      <c r="G55" s="111"/>
      <c r="H55" s="111"/>
      <c r="I55" s="111"/>
      <c r="J55" s="115"/>
      <c r="K55" s="111"/>
      <c r="L55" s="111"/>
      <c r="M55" s="111"/>
      <c r="N55" s="111"/>
      <c r="O55" s="111"/>
      <c r="P55" s="111"/>
      <c r="Q55" s="111"/>
      <c r="R55" s="111"/>
    </row>
    <row r="56" ht="15" customHeight="1" spans="2:18">
      <c r="B56" s="111"/>
      <c r="C56" s="111"/>
      <c r="D56" s="111"/>
      <c r="E56" s="111"/>
      <c r="F56" s="111"/>
      <c r="G56" s="111"/>
      <c r="H56" s="111"/>
      <c r="I56" s="111"/>
      <c r="J56" s="115"/>
      <c r="K56" s="111"/>
      <c r="L56" s="111"/>
      <c r="M56" s="111"/>
      <c r="N56" s="111"/>
      <c r="O56" s="111"/>
      <c r="P56" s="111"/>
      <c r="Q56" s="111"/>
      <c r="R56" s="111"/>
    </row>
    <row r="57" ht="15" customHeight="1" spans="2:18">
      <c r="B57" s="111"/>
      <c r="C57" s="111"/>
      <c r="D57" s="111"/>
      <c r="E57" s="111"/>
      <c r="F57" s="111"/>
      <c r="G57" s="111"/>
      <c r="H57" s="111"/>
      <c r="I57" s="111"/>
      <c r="J57" s="115"/>
      <c r="K57" s="111"/>
      <c r="L57" s="111"/>
      <c r="M57" s="111"/>
      <c r="N57" s="111"/>
      <c r="O57" s="111"/>
      <c r="P57" s="111"/>
      <c r="Q57" s="111"/>
      <c r="R57" s="111"/>
    </row>
    <row r="58" ht="15" customHeight="1" spans="2:18">
      <c r="B58" s="111"/>
      <c r="C58" s="111"/>
      <c r="D58" s="111"/>
      <c r="E58" s="111"/>
      <c r="F58" s="111"/>
      <c r="G58" s="111"/>
      <c r="H58" s="111"/>
      <c r="I58" s="111"/>
      <c r="J58" s="115"/>
      <c r="K58" s="111"/>
      <c r="L58" s="111"/>
      <c r="M58" s="111"/>
      <c r="N58" s="111"/>
      <c r="O58" s="111"/>
      <c r="P58" s="111"/>
      <c r="Q58" s="111"/>
      <c r="R58" s="111"/>
    </row>
    <row r="59" ht="15" customHeight="1" spans="2:18">
      <c r="B59" s="111" t="str">
        <f>IFERROR(_xlfn._xlws.FILTER(拍卖列表!$A$12:$A$144,拍卖列表!$F$12:$F$144="【NikoFC】NikoCN Fanclub"),"")</f>
        <v/>
      </c>
      <c r="C59" s="111"/>
      <c r="D59" s="111"/>
      <c r="E59" s="111"/>
      <c r="F59" s="111"/>
      <c r="G59" s="111"/>
      <c r="H59" s="111"/>
      <c r="I59" s="111"/>
      <c r="J59" s="115"/>
      <c r="K59" s="111"/>
      <c r="L59" s="111"/>
      <c r="M59" s="111"/>
      <c r="N59" s="111"/>
      <c r="O59" s="111"/>
      <c r="P59" s="111"/>
      <c r="Q59" s="111"/>
      <c r="R59" s="111"/>
    </row>
    <row r="60" ht="15" customHeight="1" spans="2:18">
      <c r="B60" s="111" t="str">
        <f>IFERROR(_xlfn._xlws.FILTER(拍卖列表!$A$12:$A$144,拍卖列表!$F$12:$F$144="【NikoFC】NikoCN Fanclub"),"")</f>
        <v/>
      </c>
      <c r="C60" s="111"/>
      <c r="D60" s="111"/>
      <c r="E60" s="111"/>
      <c r="F60" s="111"/>
      <c r="G60" s="111"/>
      <c r="H60" s="111"/>
      <c r="I60" s="111"/>
      <c r="J60" s="115"/>
      <c r="K60" s="111"/>
      <c r="L60" s="111"/>
      <c r="M60" s="111"/>
      <c r="N60" s="111"/>
      <c r="O60" s="111"/>
      <c r="P60" s="111"/>
      <c r="Q60" s="111"/>
      <c r="R60" s="111"/>
    </row>
    <row r="61" ht="15" customHeight="1" spans="2:18">
      <c r="B61" s="111" t="str">
        <f>IFERROR(_xlfn._xlws.FILTER(拍卖列表!$A$12:$A$144,拍卖列表!$F$12:$F$144="【NikoFC】NikoCN Fanclub"),"")</f>
        <v/>
      </c>
      <c r="C61" s="111"/>
      <c r="D61" s="111"/>
      <c r="E61" s="111"/>
      <c r="F61" s="111"/>
      <c r="G61" s="111"/>
      <c r="H61" s="111"/>
      <c r="I61" s="111"/>
      <c r="J61" s="115"/>
      <c r="K61" s="111"/>
      <c r="L61" s="111"/>
      <c r="M61" s="111"/>
      <c r="N61" s="111"/>
      <c r="O61" s="111"/>
      <c r="P61" s="111"/>
      <c r="Q61" s="111"/>
      <c r="R61" s="111"/>
    </row>
    <row r="62" ht="15" customHeight="1" spans="2:18">
      <c r="B62" s="111" t="s">
        <v>240</v>
      </c>
      <c r="C62" s="111"/>
      <c r="D62" s="111"/>
      <c r="E62" s="111"/>
      <c r="F62" s="111"/>
      <c r="G62" s="111"/>
      <c r="H62" s="111"/>
      <c r="I62" s="111"/>
      <c r="J62" s="115"/>
      <c r="K62" s="111"/>
      <c r="L62" s="111"/>
      <c r="M62" s="111"/>
      <c r="N62" s="111"/>
      <c r="O62" s="111"/>
      <c r="P62" s="111"/>
      <c r="Q62" s="111"/>
      <c r="R62" s="111"/>
    </row>
    <row r="63" ht="15" customHeight="1" spans="2:18">
      <c r="B63" s="111" t="s">
        <v>240</v>
      </c>
      <c r="C63" s="111"/>
      <c r="D63" s="111"/>
      <c r="E63" s="111"/>
      <c r="F63" s="111"/>
      <c r="G63" s="111"/>
      <c r="H63" s="111"/>
      <c r="I63" s="111"/>
      <c r="J63" s="115"/>
      <c r="K63" s="111"/>
      <c r="L63" s="111"/>
      <c r="M63" s="111"/>
      <c r="N63" s="111"/>
      <c r="O63" s="111"/>
      <c r="P63" s="111"/>
      <c r="Q63" s="111"/>
      <c r="R63" s="111"/>
    </row>
    <row r="64" ht="15" customHeight="1" spans="2:18">
      <c r="B64" s="111" t="s">
        <v>240</v>
      </c>
      <c r="C64" s="111"/>
      <c r="D64" s="111"/>
      <c r="E64" s="111"/>
      <c r="F64" s="111"/>
      <c r="G64" s="111"/>
      <c r="H64" s="111"/>
      <c r="I64" s="111"/>
      <c r="J64" s="115"/>
      <c r="K64" s="111"/>
      <c r="L64" s="111"/>
      <c r="M64" s="111"/>
      <c r="N64" s="111"/>
      <c r="O64" s="111"/>
      <c r="P64" s="111"/>
      <c r="Q64" s="111"/>
      <c r="R64" s="111"/>
    </row>
    <row r="65" ht="15" customHeight="1" spans="2:18">
      <c r="B65" s="86" t="s">
        <v>240</v>
      </c>
      <c r="D65" s="111"/>
      <c r="E65" s="111"/>
      <c r="H65" s="111"/>
      <c r="I65" s="111"/>
      <c r="J65" s="169"/>
      <c r="L65" s="111"/>
      <c r="M65" s="111"/>
      <c r="P65" s="111"/>
      <c r="Q65" s="111"/>
      <c r="R65" s="111"/>
    </row>
    <row r="66" ht="15" customHeight="1" spans="2:18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</row>
    <row r="67" ht="15" customHeight="1" spans="2:18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</row>
    <row r="68" ht="15" customHeight="1" spans="2:18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</row>
    <row r="69" ht="15" customHeight="1" spans="2:18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</row>
    <row r="70" ht="15" customHeight="1" spans="2:18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</row>
    <row r="71" ht="15" customHeight="1" spans="2:18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</row>
    <row r="72" ht="15" customHeight="1" spans="2:18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</row>
    <row r="73" ht="15" customHeight="1" spans="2:18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</row>
    <row r="74" ht="15" customHeight="1" spans="2:18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</row>
    <row r="75" ht="15" customHeight="1" spans="2:18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</row>
    <row r="76" ht="15" customHeight="1" spans="2:18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</row>
    <row r="77" ht="15" customHeight="1" spans="2:18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</row>
    <row r="78" ht="15" customHeight="1" spans="2:18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</row>
    <row r="79" ht="15" customHeight="1" spans="2:18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</row>
    <row r="80" ht="15" customHeight="1" spans="2:18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</row>
    <row r="81" ht="15" customHeight="1" spans="2:18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 ht="15" customHeight="1" spans="2:18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</sheetData>
  <mergeCells count="16">
    <mergeCell ref="B2:D2"/>
    <mergeCell ref="F2:H2"/>
    <mergeCell ref="J2:L2"/>
    <mergeCell ref="N2:P2"/>
    <mergeCell ref="B34:D34"/>
    <mergeCell ref="F34:H34"/>
    <mergeCell ref="J34:L34"/>
    <mergeCell ref="N34:P34"/>
    <mergeCell ref="D4:D19"/>
    <mergeCell ref="D36:D51"/>
    <mergeCell ref="H4:H19"/>
    <mergeCell ref="H36:H51"/>
    <mergeCell ref="L4:L19"/>
    <mergeCell ref="L36:L51"/>
    <mergeCell ref="P4:P19"/>
    <mergeCell ref="P36:P5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9"/>
  <sheetViews>
    <sheetView workbookViewId="0">
      <selection activeCell="E2" sqref="E2"/>
    </sheetView>
  </sheetViews>
  <sheetFormatPr defaultColWidth="11.3333333333333" defaultRowHeight="16.5" outlineLevelCol="7"/>
  <cols>
    <col min="1" max="1" width="31.4444444444444" style="3" customWidth="1"/>
    <col min="2" max="2" width="15.2222222222222" style="3" customWidth="1"/>
    <col min="3" max="3" width="11.3333333333333" style="3" customWidth="1"/>
    <col min="4" max="4" width="32" style="68" customWidth="1"/>
    <col min="5" max="5" width="25.3333333333333" style="3" customWidth="1"/>
    <col min="6" max="6" width="26.6666666666667" style="3" customWidth="1"/>
    <col min="7" max="7" width="29.3333333333333" style="3" customWidth="1"/>
    <col min="8" max="16384" width="11.3333333333333" style="3" customWidth="1"/>
  </cols>
  <sheetData>
    <row r="1" ht="22.5" customHeight="1" spans="1:8">
      <c r="A1" s="69" t="s">
        <v>1</v>
      </c>
      <c r="B1" s="69" t="s">
        <v>241</v>
      </c>
      <c r="C1" s="69" t="s">
        <v>242</v>
      </c>
      <c r="D1" s="70" t="s">
        <v>243</v>
      </c>
      <c r="E1" s="69" t="s">
        <v>244</v>
      </c>
      <c r="F1" s="69" t="s">
        <v>245</v>
      </c>
      <c r="G1" s="69" t="s">
        <v>246</v>
      </c>
      <c r="H1" s="71"/>
    </row>
    <row r="2" ht="35.1" customHeight="1" spans="1:8">
      <c r="A2" s="72" t="s">
        <v>6</v>
      </c>
      <c r="B2" s="73" t="s">
        <v>7</v>
      </c>
      <c r="C2" s="73">
        <v>750</v>
      </c>
      <c r="D2" s="74">
        <f t="shared" ref="D2:D9" si="0">3000-C2+E2+F2+G2</f>
        <v>2250</v>
      </c>
      <c r="E2" s="75">
        <f>第一轮比赛!E14</f>
        <v>0</v>
      </c>
      <c r="F2" s="76">
        <v>0</v>
      </c>
      <c r="G2" s="3">
        <v>0</v>
      </c>
      <c r="H2" s="71"/>
    </row>
    <row r="3" ht="35.1" customHeight="1" spans="1:7">
      <c r="A3" s="77" t="s">
        <v>8</v>
      </c>
      <c r="B3" s="73" t="s">
        <v>9</v>
      </c>
      <c r="C3" s="73">
        <v>450</v>
      </c>
      <c r="D3" s="74">
        <f t="shared" si="0"/>
        <v>2550</v>
      </c>
      <c r="E3" s="75">
        <f>第一轮比赛!E15</f>
        <v>0</v>
      </c>
      <c r="F3" s="76">
        <v>0</v>
      </c>
      <c r="G3" s="3">
        <v>0</v>
      </c>
    </row>
    <row r="4" ht="35.1" customHeight="1" spans="1:7">
      <c r="A4" s="78" t="s">
        <v>10</v>
      </c>
      <c r="B4" s="73" t="s">
        <v>11</v>
      </c>
      <c r="C4" s="73">
        <v>900</v>
      </c>
      <c r="D4" s="74">
        <f t="shared" si="0"/>
        <v>2100</v>
      </c>
      <c r="E4" s="75">
        <f>第一轮比赛!E16</f>
        <v>0</v>
      </c>
      <c r="F4" s="76">
        <v>0</v>
      </c>
      <c r="G4" s="3">
        <v>0</v>
      </c>
    </row>
    <row r="5" ht="35.1" customHeight="1" spans="1:7">
      <c r="A5" s="79" t="s">
        <v>12</v>
      </c>
      <c r="B5" s="73" t="s">
        <v>13</v>
      </c>
      <c r="C5" s="73">
        <v>800</v>
      </c>
      <c r="D5" s="74">
        <f t="shared" si="0"/>
        <v>2200</v>
      </c>
      <c r="E5" s="75">
        <f>第一轮比赛!E17</f>
        <v>0</v>
      </c>
      <c r="F5" s="76">
        <v>0</v>
      </c>
      <c r="G5" s="3">
        <v>0</v>
      </c>
    </row>
    <row r="6" ht="35.1" customHeight="1" spans="1:7">
      <c r="A6" s="80" t="s">
        <v>14</v>
      </c>
      <c r="B6" s="73" t="s">
        <v>15</v>
      </c>
      <c r="C6" s="81">
        <v>800</v>
      </c>
      <c r="D6" s="74">
        <f t="shared" si="0"/>
        <v>2200</v>
      </c>
      <c r="E6" s="75">
        <f>第一轮比赛!E18</f>
        <v>0</v>
      </c>
      <c r="F6" s="76">
        <v>0</v>
      </c>
      <c r="G6" s="3">
        <v>0</v>
      </c>
    </row>
    <row r="7" ht="35.1" customHeight="1" spans="1:7">
      <c r="A7" s="82" t="s">
        <v>16</v>
      </c>
      <c r="B7" s="73" t="s">
        <v>17</v>
      </c>
      <c r="C7" s="81">
        <v>800</v>
      </c>
      <c r="D7" s="74">
        <f t="shared" si="0"/>
        <v>2200</v>
      </c>
      <c r="E7" s="75">
        <f>第一轮比赛!E19</f>
        <v>0</v>
      </c>
      <c r="F7" s="76">
        <v>0</v>
      </c>
      <c r="G7" s="3">
        <v>0</v>
      </c>
    </row>
    <row r="8" ht="35.1" customHeight="1" spans="1:7">
      <c r="A8" s="83" t="s">
        <v>18</v>
      </c>
      <c r="B8" s="73" t="s">
        <v>19</v>
      </c>
      <c r="C8" s="73">
        <v>250</v>
      </c>
      <c r="D8" s="74">
        <f t="shared" si="0"/>
        <v>2750</v>
      </c>
      <c r="E8" s="75">
        <f>第一轮比赛!E20</f>
        <v>0</v>
      </c>
      <c r="F8" s="76">
        <v>0</v>
      </c>
      <c r="G8" s="3">
        <v>0</v>
      </c>
    </row>
    <row r="9" ht="35.1" customHeight="1" spans="1:6">
      <c r="A9" s="84" t="s">
        <v>20</v>
      </c>
      <c r="B9" s="73" t="s">
        <v>21</v>
      </c>
      <c r="C9" s="73">
        <v>300</v>
      </c>
      <c r="D9" s="74">
        <f t="shared" si="0"/>
        <v>2700</v>
      </c>
      <c r="E9" s="75">
        <f>第一轮比赛!E21</f>
        <v>0</v>
      </c>
      <c r="F9" s="7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4"/>
  <sheetViews>
    <sheetView showGridLines="0" showRowColHeaders="0" zoomScale="30" zoomScaleNormal="30" workbookViewId="0">
      <selection activeCell="A1" sqref="A1:D1"/>
    </sheetView>
  </sheetViews>
  <sheetFormatPr defaultColWidth="11.3333333333333" defaultRowHeight="16.5" outlineLevelCol="3"/>
  <cols>
    <col min="1" max="1" width="105.888888888889" style="3" customWidth="1"/>
    <col min="2" max="3" width="11.3333333333333" style="3" customWidth="1"/>
    <col min="4" max="4" width="39.2222222222222" style="3" customWidth="1"/>
    <col min="5" max="16384" width="11.3333333333333" style="3" customWidth="1"/>
  </cols>
  <sheetData>
    <row r="1" ht="178.5" customHeight="1" spans="1:1">
      <c r="A1" s="58" t="s">
        <v>247</v>
      </c>
    </row>
    <row r="2" ht="40.5" customHeight="1" spans="1:1">
      <c r="A2" s="59" t="s">
        <v>248</v>
      </c>
    </row>
    <row r="3" ht="29.25" customHeight="1" spans="1:4">
      <c r="A3" s="60"/>
      <c r="B3" s="61"/>
      <c r="C3" s="61"/>
      <c r="D3" s="61"/>
    </row>
    <row r="4" ht="40.5" customHeight="1" spans="1:1">
      <c r="A4" s="58" t="s">
        <v>249</v>
      </c>
    </row>
    <row r="5" ht="21" customHeight="1" spans="1:4">
      <c r="A5" s="62" t="s">
        <v>250</v>
      </c>
      <c r="B5" s="62"/>
      <c r="C5" s="62"/>
      <c r="D5" s="62"/>
    </row>
    <row r="6" ht="40.5" customHeight="1" spans="1:2">
      <c r="A6" s="62" t="s">
        <v>251</v>
      </c>
      <c r="B6" s="63"/>
    </row>
    <row r="7" ht="40.5" customHeight="1" spans="1:2">
      <c r="A7" s="62" t="s">
        <v>252</v>
      </c>
      <c r="B7" s="63"/>
    </row>
    <row r="8" ht="40.5" customHeight="1" spans="1:2">
      <c r="A8" s="62" t="s">
        <v>253</v>
      </c>
      <c r="B8" s="63"/>
    </row>
    <row r="9" ht="40.5" customHeight="1" spans="1:2">
      <c r="A9" s="62" t="s">
        <v>254</v>
      </c>
      <c r="B9" s="63"/>
    </row>
    <row r="10" ht="40.5" customHeight="1" spans="1:2">
      <c r="A10" s="62" t="s">
        <v>255</v>
      </c>
      <c r="B10" s="63"/>
    </row>
    <row r="11" ht="40.5" customHeight="1" spans="1:2">
      <c r="A11" s="64" t="s">
        <v>256</v>
      </c>
      <c r="B11" s="63"/>
    </row>
    <row r="12" ht="40.5" customHeight="1" spans="1:2">
      <c r="A12" s="64" t="s">
        <v>257</v>
      </c>
      <c r="B12" s="63"/>
    </row>
    <row r="14" ht="21.75" customHeight="1" spans="1:1">
      <c r="A14" s="65"/>
    </row>
    <row r="16" spans="1:1">
      <c r="A16" s="66"/>
    </row>
    <row r="18" ht="21.75" customHeight="1" spans="1:1">
      <c r="A18" s="65"/>
    </row>
    <row r="20" ht="24.75" customHeight="1" spans="1:1">
      <c r="A20" s="67"/>
    </row>
    <row r="22" ht="24.75" customHeight="1" spans="1:1">
      <c r="A22" s="67"/>
    </row>
    <row r="24" ht="24.75" customHeight="1" spans="1:1">
      <c r="A24" s="67"/>
    </row>
  </sheetData>
  <sheetProtection sheet="1" formatCells="0" formatColumns="0" formatRows="0" insertRows="0" insertColumns="0" insertHyperlinks="0" deleteColumns="0" deleteRows="0" sort="0" autoFilter="0" pivotTables="0"/>
  <mergeCells count="10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</mergeCells>
  <hyperlinks>
    <hyperlink ref="A2" r:id="rId1" display="https://kdocs.cn/l/cd1pt4d5tPbS" tooltip="https://kdocs.cn/l/cd1pt4d5tPbS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Z41"/>
  <sheetViews>
    <sheetView workbookViewId="0">
      <selection activeCell="G19" sqref="G19"/>
    </sheetView>
  </sheetViews>
  <sheetFormatPr defaultColWidth="9" defaultRowHeight="16.5"/>
  <cols>
    <col min="1" max="1" width="21.6666666666667" style="16" customWidth="1"/>
    <col min="2" max="9" width="13.8888888888889" style="16" customWidth="1"/>
    <col min="10" max="10" width="14.7777777777778" style="16" customWidth="1"/>
    <col min="11" max="11" width="14.4444444444444" style="16" customWidth="1"/>
    <col min="12" max="20" width="12.7777777777778" style="16" customWidth="1"/>
    <col min="21" max="26" width="13.8888888888889" style="16" customWidth="1"/>
    <col min="27" max="16384" width="9" style="16" customWidth="1"/>
  </cols>
  <sheetData>
    <row r="1" s="12" customFormat="1" ht="24.75" customHeight="1" spans="1:7">
      <c r="A1" s="17" t="s">
        <v>258</v>
      </c>
      <c r="G1" s="17"/>
    </row>
    <row r="2" s="13" customFormat="1" ht="22.5" customHeight="1" spans="1:7">
      <c r="A2" s="18" t="s">
        <v>1</v>
      </c>
      <c r="B2" s="18" t="s">
        <v>259</v>
      </c>
      <c r="C2" s="18" t="s">
        <v>260</v>
      </c>
      <c r="D2" s="18" t="s">
        <v>261</v>
      </c>
      <c r="E2" s="18" t="s">
        <v>262</v>
      </c>
      <c r="F2" s="18" t="s">
        <v>263</v>
      </c>
      <c r="G2" s="19"/>
    </row>
    <row r="3" ht="18" customHeight="1" spans="1:7">
      <c r="A3" s="20" t="s">
        <v>264</v>
      </c>
      <c r="B3" s="20">
        <f t="shared" ref="B3:B10" si="0">SUM(IF(($E$25=A3)*(($F$25+$F$26)&lt;&gt;0),IF($F$25&gt;$F$26,3,IF($F$25&lt;$F$26,0,1)),0),IF(($E$27=A3)*(($F$27+$F$28)&lt;&gt;0),IF($F$27&gt;$F$28,3,IF($F$27&lt;$F$28,0,1)),0),IF(($E$29=A3)*(($F$29+$F$30)&lt;&gt;0),IF($F$29&gt;$F$30,3,IF($F$29&lt;$F$30,0,1)),0),IF(($E$31=A3)*(($F$31+$F$32)&lt;&gt;0),IF($F$31&gt;$F$32,3,IF($F$31&lt;$F$32,0,1)),0),IF(($E$33=A3)*(($F$33+$F$34)&lt;&gt;0),IF($F$33&gt;$F$34,3,IF($F$33&lt;$F$34,0,1)),0),IF(($E$35=A3)*(($F$35+$F$36)&lt;&gt;0),IF($F$35&gt;$F$36,3,IF($F$35&lt;$F$36,0,1)),0),IF(($E$37=A3)*(($F$37+$F$38)&lt;&gt;0),IF($F$37&gt;$F$38,3,IF($F$37&lt;$F$38,0,1)),0),IF(($E$39=A3)*(($F$39+$F$40)&lt;&gt;0),IF($F$39&gt;$F$40,3,IF($F$39&lt;$F$40,0,1)),0),IF(($E$26=A3)*(($F$25+$F$26)&lt;&gt;0),IF($F$26&gt;$F$25,3,IF($F$26&lt;$F$25,0,1)),0),IF(($E$28=A3)*(($F$27+$F$28)&lt;&gt;0),IF($F$28&gt;$F$27,3,IF($F$28&lt;$F$27,0,1)),0),IF(($E$30=A3)*(($F$29+$F$30)&lt;&gt;0),IF($F$30&gt;$F$29,3,IF($F$30&lt;$F$29,0,1)),0),IF(($E$32=A3)*(($F$31+$F$32)&lt;&gt;0),IF($F$32&gt;$F$31,3,IF($F$32&lt;$F$31,0,1)),0),IF(($E$34=A3)*(($F$33+$F$34)&lt;&gt;0),IF($F$34&gt;$F$33,3,IF($F$34&lt;$F$33,0,1)),0),IF(($E$36=A3)*(($F$35+$F$36)&lt;&gt;0),IF($F$36&gt;$F$35,3,IF($F$36&lt;$F$35,0,1)),0),IF(($E$38=A3)*(($F$37+$F$38)&lt;&gt;0),IF($F$38&gt;$F$37,3,IF($F$38&lt;$F$37,0,1)),0),IF(($E$40=A3)*(($F$39+$F$40)&lt;&gt;0),IF($F$40&gt;$F$39,3,IF($F$40&lt;$F$39,0,1)),0))</f>
        <v>0</v>
      </c>
      <c r="C3" s="20">
        <f ca="1">D3-E3</f>
        <v>0</v>
      </c>
      <c r="D3" s="20">
        <f t="array" ref="D3">SUMPRODUCT(IF($E$25:$E$40=A3,$F$25:$F$40,0))</f>
        <v>0</v>
      </c>
      <c r="E3" s="20">
        <f ca="1" t="array" ref="E3">SUMPRODUCT(IF(($E$25:$E$40=A3)*(MOD(ROW($E$25:$E$40)-ROW($E$25),2)=0),OFFSET($F$25:$F$40,1,0),0))+SUMPRODUCT(IF(($E$25:$E$40=A3)*(MOD(ROW($E$25:$E$40)-ROW($E$25),2)=1),OFFSET($F$25:$F$40,-1,0),0))</f>
        <v>0</v>
      </c>
      <c r="F3" s="20">
        <f t="array" ref="F3">SUMPRODUCT(IF($E$25:$E$40=A3,$G$25:$G$40,0))</f>
        <v>0</v>
      </c>
      <c r="G3" s="20"/>
    </row>
    <row r="4" ht="18" customHeight="1" spans="1:7">
      <c r="A4" s="21" t="s">
        <v>265</v>
      </c>
      <c r="B4" s="21">
        <f t="shared" si="0"/>
        <v>0</v>
      </c>
      <c r="C4" s="21">
        <f ca="1" t="array" ref="C4">SUMPRODUCT(IF(($E$25:$E$40=A4)*(MOD(ROW($F$25:$F$40)-ROW($F$25),2)=0),$F$25:$F$40-OFFSET($F$25:$F$40,1,0),0))+SUMPRODUCT(IF(($E$25:$E$40=A4)*(MOD(ROW($F$25:$F$40)-ROW($F$25),2)=1),OFFSET($F$25:$F$40,-1,0)-$F$25:$F$40,0))</f>
        <v>0</v>
      </c>
      <c r="D4" s="21">
        <f>SUMPRODUCT((($E$25:$E$40="【SSR】")*($F$25:$F$40)))</f>
        <v>0</v>
      </c>
      <c r="E4" s="21">
        <f ca="1" t="array" ref="E4">SUMPRODUCT(IF(($E$25:$E$40=A4)*(MOD(ROW($E$25:$E$40)-ROW($E$25),2)=0),OFFSET($F$25:$F$40,1,0),0))+SUMPRODUCT(IF(($E$25:$E$40=A4)*(MOD(ROW($E$25:$E$40)-ROW($E$25),2)=1),OFFSET($F$25:$F$40,-1,0),0))</f>
        <v>0</v>
      </c>
      <c r="F4" s="21">
        <f t="array" ref="F4">SUMPRODUCT(IF($E$25:$E$40=A4,$G$25:$G$40,0))</f>
        <v>0</v>
      </c>
      <c r="G4" s="21"/>
    </row>
    <row r="5" ht="18" customHeight="1" spans="1:7">
      <c r="A5" s="22" t="s">
        <v>266</v>
      </c>
      <c r="B5" s="22">
        <f t="shared" si="0"/>
        <v>0</v>
      </c>
      <c r="C5" s="22">
        <f ca="1" t="array" ref="C5">SUMPRODUCT(IF(($E$25:$E$40=A5)*(MOD(ROW($F$25:$F$40)-ROW($F$25),2)=0),$F$25:$F$40-OFFSET($F$25:$F$40,1,0),0))+SUMPRODUCT(IF(($E$25:$E$40=A5)*(MOD(ROW($F$25:$F$40)-ROW($F$25),2)=1),OFFSET($F$25:$F$40,-1,0)-$F$25:$F$40,0))</f>
        <v>0</v>
      </c>
      <c r="D5" s="22">
        <f>SUMPRODUCT((($E$25:$E$40="【OldH】")*($F$25:$F$40)))</f>
        <v>0</v>
      </c>
      <c r="E5" s="22">
        <f ca="1" t="array" ref="E5">SUMPRODUCT(IF(($E$25:$E$40=A5)*(MOD(ROW($E$25:$E$40)-ROW($E$25),2)=0),OFFSET($F$25:$F$40,1,0),0))+SUMPRODUCT(IF(($E$25:$E$40=A5)*(MOD(ROW($E$25:$E$40)-ROW($E$25),2)=1),OFFSET($F$25:$F$40,-1,0),0))</f>
        <v>0</v>
      </c>
      <c r="F5" s="22">
        <f t="array" ref="F5">SUMPRODUCT(IF($E$25:$E$40=A5,$G$25:$G$40,0))</f>
        <v>0</v>
      </c>
      <c r="G5" s="22"/>
    </row>
    <row r="6" ht="18" customHeight="1" spans="1:7">
      <c r="A6" s="23" t="s">
        <v>267</v>
      </c>
      <c r="B6" s="23">
        <f t="shared" si="0"/>
        <v>0</v>
      </c>
      <c r="C6" s="23">
        <f ca="1" t="array" ref="C6">SUMPRODUCT(IF(($E$25:$E$40=A6)*(MOD(ROW($F$25:$F$40)-ROW($F$25),2)=0),$F$25:$F$40-OFFSET($F$25:$F$40,1,0),0))+SUMPRODUCT(IF(($E$25:$E$40=A6)*(MOD(ROW($F$25:$F$40)-ROW($F$25),2)=1),OFFSET($F$25:$F$40,-1,0)-$F$25:$F$40,0))</f>
        <v>0</v>
      </c>
      <c r="D6" s="23">
        <f>SUMPRODUCT((($E$25:$E$40="【AWO】")*($F$25:$F$40)))</f>
        <v>0</v>
      </c>
      <c r="E6" s="23">
        <f ca="1" t="array" ref="E6">SUMPRODUCT(IF(($E$25:$E$40=A6)*(MOD(ROW($E$25:$E$40)-ROW($E$25),2)=0),OFFSET($F$25:$F$40,1,0),0))+SUMPRODUCT(IF(($E$25:$E$40=A6)*(MOD(ROW($E$25:$E$40)-ROW($E$25),2)=1),OFFSET($F$25:$F$40,-1,0),0))</f>
        <v>0</v>
      </c>
      <c r="F6" s="23">
        <f t="array" ref="F6">SUMPRODUCT(IF($E$25:$E$40=A6,$G$25:$G$40,0))</f>
        <v>0</v>
      </c>
      <c r="G6" s="23"/>
    </row>
    <row r="7" ht="18" customHeight="1" spans="1:7">
      <c r="A7" s="24" t="s">
        <v>268</v>
      </c>
      <c r="B7" s="24">
        <f t="shared" si="0"/>
        <v>0</v>
      </c>
      <c r="C7" s="24">
        <f ca="1" t="array" ref="C7">SUMPRODUCT(IF(($E$25:$E$40=A7)*(MOD(ROW($F$25:$F$40)-ROW($F$25),2)=0),$F$25:$F$40-OFFSET($F$25:$F$40,1,0),0))+SUMPRODUCT(IF(($E$25:$E$40=A7)*(MOD(ROW($F$25:$F$40)-ROW($F$25),2)=1),OFFSET($F$25:$F$40,-1,0)-$F$25:$F$40,0))</f>
        <v>0</v>
      </c>
      <c r="D7" s="24">
        <f>SUMPRODUCT((($E$25:$E$40="【G2】")*($F$25:$F$40)))</f>
        <v>0</v>
      </c>
      <c r="E7" s="24">
        <f ca="1" t="array" ref="E7">SUMPRODUCT(IF(($E$25:$E$40=A7)*(MOD(ROW($E$25:$E$40)-ROW($E$25),2)=0),OFFSET($F$25:$F$40,1,0),0))+SUMPRODUCT(IF(($E$25:$E$40=A7)*(MOD(ROW($E$25:$E$40)-ROW($E$25),2)=1),OFFSET($F$25:$F$40,-1,0),0))</f>
        <v>0</v>
      </c>
      <c r="F7" s="24">
        <f t="array" ref="F7">SUMPRODUCT(IF($E$25:$E$40=A7,$G$25:$G$40,0))</f>
        <v>0</v>
      </c>
      <c r="G7" s="24"/>
    </row>
    <row r="8" ht="18" customHeight="1" spans="1:7">
      <c r="A8" s="25" t="s">
        <v>269</v>
      </c>
      <c r="B8" s="25">
        <f t="shared" si="0"/>
        <v>0</v>
      </c>
      <c r="C8" s="25">
        <f ca="1" t="array" ref="C8">SUMPRODUCT(IF(($E$25:$E$40=A8)*(MOD(ROW($F$25:$F$40)-ROW($F$25),2)=0),$F$25:$F$40-OFFSET($F$25:$F$40,1,0),0))+SUMPRODUCT(IF(($E$25:$E$40=A8)*(MOD(ROW($F$25:$F$40)-ROW($F$25),2)=1),OFFSET($F$25:$F$40,-1,0)-$F$25:$F$40,0))</f>
        <v>0</v>
      </c>
      <c r="D8" s="25">
        <f>SUMPRODUCT((($E$25:$E$40="【TV】")*($F$25:$F$40)))</f>
        <v>0</v>
      </c>
      <c r="E8" s="25">
        <f ca="1" t="array" ref="E8">SUMPRODUCT(IF(($E$25:$E$40=A8)*(MOD(ROW($E$25:$E$40)-ROW($E$25),2)=0),OFFSET($F$25:$F$40,1,0),0))+SUMPRODUCT(IF(($E$25:$E$40=A8)*(MOD(ROW($E$25:$E$40)-ROW($E$25),2)=1),OFFSET($F$25:$F$40,-1,0),0))</f>
        <v>0</v>
      </c>
      <c r="F8" s="25">
        <f t="array" ref="F8">SUMPRODUCT(IF($E$25:$E$40=A8,$G$25:$G$40,0))</f>
        <v>0</v>
      </c>
      <c r="G8" s="25"/>
    </row>
    <row r="9" ht="18" customHeight="1" spans="1:7">
      <c r="A9" s="26" t="s">
        <v>270</v>
      </c>
      <c r="B9" s="26">
        <f t="shared" si="0"/>
        <v>0</v>
      </c>
      <c r="C9" s="26">
        <f ca="1" t="array" ref="C9">SUMPRODUCT(IF(($E$25:$E$40=A9)*(MOD(ROW($F$25:$F$40)-ROW($F$25),2)=0),$F$25:$F$40-OFFSET($F$25:$F$40,1,0),0))+SUMPRODUCT(IF(($E$25:$E$40=A9)*(MOD(ROW($F$25:$F$40)-ROW($F$25),2)=1),OFFSET($F$25:$F$40,-1,0)-$F$25:$F$40,0))</f>
        <v>0</v>
      </c>
      <c r="D9" s="26">
        <f>SUMPRODUCT((($E$25:$E$40="【Miniworld】")*($F$25:$F$40)))</f>
        <v>0</v>
      </c>
      <c r="E9" s="26">
        <f ca="1" t="array" ref="E9">SUMPRODUCT(IF(($E$25:$E$40=A9)*(MOD(ROW($E$25:$E$40)-ROW($E$25),2)=0),OFFSET($F$25:$F$40,1,0),0))+SUMPRODUCT(IF(($E$25:$E$40=A9)*(MOD(ROW($E$25:$E$40)-ROW($E$25),2)=1),OFFSET($F$25:$F$40,-1,0),0))</f>
        <v>0</v>
      </c>
      <c r="F9" s="26">
        <f t="array" ref="F9">SUMPRODUCT(IF($E$25:$E$40=A9,$G$25:$G$40,0))</f>
        <v>0</v>
      </c>
      <c r="G9" s="26"/>
    </row>
    <row r="10" ht="18" customHeight="1" spans="1:7">
      <c r="A10" s="27" t="s">
        <v>271</v>
      </c>
      <c r="B10" s="27">
        <f t="shared" si="0"/>
        <v>0</v>
      </c>
      <c r="C10" s="27">
        <f ca="1" t="array" ref="C10">SUMPRODUCT(IF(($E$25:$E$40=A10)*(MOD(ROW($F$25:$F$40)-ROW($F$25),2)=0),$F$25:$F$40-OFFSET($F$25:$F$40,1,0),0))+SUMPRODUCT(IF(($E$25:$E$40=A10)*(MOD(ROW($F$25:$F$40)-ROW($F$25),2)=1),OFFSET($F$25:$F$40,-1,0)-$F$25:$F$40,0))</f>
        <v>0</v>
      </c>
      <c r="D10" s="27">
        <f>SUMPRODUCT((($E$25:$E$40="【NikoFC】")*($F$25:$F$40)))</f>
        <v>0</v>
      </c>
      <c r="E10" s="27">
        <f ca="1" t="array" ref="E10">SUMPRODUCT(IF(($E$25:$E$40=A10)*(MOD(ROW($E$25:$E$40)-ROW($E$25),2)=0),OFFSET($F$25:$F$40,1,0),0))+SUMPRODUCT(IF(($E$25:$E$40=A10)*(MOD(ROW($E$25:$E$40)-ROW($E$25),2)=1),OFFSET($F$25:$F$40,-1,0),0))</f>
        <v>0</v>
      </c>
      <c r="F10" s="27">
        <f t="array" ref="F10">SUMPRODUCT(IF($E$25:$E$40=A10,$G$25:$G$40,0))</f>
        <v>0</v>
      </c>
      <c r="G10" s="27"/>
    </row>
    <row r="12" s="12" customFormat="1" ht="24.75" customHeight="1" spans="1:1">
      <c r="A12" s="17" t="s">
        <v>272</v>
      </c>
    </row>
    <row r="13" s="13" customFormat="1" ht="22.5" customHeight="1" spans="1:5">
      <c r="A13" s="18" t="s">
        <v>1</v>
      </c>
      <c r="B13" s="18" t="s">
        <v>273</v>
      </c>
      <c r="C13" s="19" t="s">
        <v>274</v>
      </c>
      <c r="D13" s="19" t="s">
        <v>275</v>
      </c>
      <c r="E13" s="18" t="s">
        <v>276</v>
      </c>
    </row>
    <row r="14" ht="18" customHeight="1" spans="1:5">
      <c r="A14" s="28" t="s">
        <v>264</v>
      </c>
      <c r="B14" s="28">
        <f>INDEX(D$3:D$10,MATCH(A14,A$3:A$10,0))*10</f>
        <v>0</v>
      </c>
      <c r="C14" s="28">
        <f>INDEX(F$3:F$10,MATCH(A14,A$3:A$10,0))*50</f>
        <v>0</v>
      </c>
      <c r="D14" s="28">
        <f t="shared" ref="D14:D21" si="1">SUM(IF(($E$25=$A14)*($I$25=$E$25),($F$25*10+$G$25*50),0),IF(($E$27=$A14)*($I$27=$E$27),($F$27*10+$G$27*50),0),IF(($E$29=$A14)*($I$29=$E$29),($F$29*10+$G$29*50),0),IF(($E$31=$A14)*($I$31=$E$31),($F$31*10+$G$31*50),0),IF(($E$33=$A14)*($I$33=$E$33),($F$33*10+$G$33*50),0),IF(($E$35=$A14)*($I$35=$E$35),($F$35*10+$G$35*50),0),IF(($E$37=$A14)*($I$37=$E$37),($F$37*10+$G$37*50),0),IF(($E$39=$A14)*($I$39=$E$39),($F$39*10+$G$39*50),0),IF(($E$26=$A14)*($I$25=$E$26),($F$26*10+$G$26*50),0),IF(($E$28=$A14)*($I$27=$E$28),($F$28*10+$G$28*50),0),IF(($E$30=$A14)*($I$29=$E$30),($F$30*10+$G$30*50),0),IF(($E$32=$A14)*($I$31=$E$32),($F$32*10+$G$32*50),0),IF(($E$34=$A14)*($I$33=$E$34),($F$34*10+$G$34*50),0),IF(($E$36=$A14)*($I$35=$E$36),($F$36*10+$G$36*50),0),IF(($E$38=$A14)*($I$37=$E$38),($F$38*10+$G$38*50),0),IF(($E$40=$A14)*($I$39=$E$40),($F$40*10+$G$40*50),0))</f>
        <v>0</v>
      </c>
      <c r="E14" s="28">
        <f t="shared" ref="E14:E21" si="2">B14+C14+D14</f>
        <v>0</v>
      </c>
    </row>
    <row r="15" ht="18" customHeight="1" spans="1:5">
      <c r="A15" s="29" t="s">
        <v>265</v>
      </c>
      <c r="B15" s="29">
        <f>INDEX(D$3:D$10,MATCH(A15,A$3:A$10,0))*10</f>
        <v>0</v>
      </c>
      <c r="C15" s="29">
        <f>INDEX(F$3:F$10,MATCH(A15,A$3:A$10,0))*50</f>
        <v>0</v>
      </c>
      <c r="D15" s="29">
        <f t="shared" si="1"/>
        <v>0</v>
      </c>
      <c r="E15" s="29">
        <f t="shared" si="2"/>
        <v>0</v>
      </c>
    </row>
    <row r="16" ht="18" customHeight="1" spans="1:5">
      <c r="A16" s="30" t="s">
        <v>266</v>
      </c>
      <c r="B16" s="30">
        <f>INDEX(D$3:D$10,MATCH(A16,A$3:A$10,0))*10</f>
        <v>0</v>
      </c>
      <c r="C16" s="30">
        <f>INDEX(F$3:F$10,MATCH(A16,A$3:A$10,0))*50</f>
        <v>0</v>
      </c>
      <c r="D16" s="30">
        <f t="shared" si="1"/>
        <v>0</v>
      </c>
      <c r="E16" s="30">
        <f t="shared" si="2"/>
        <v>0</v>
      </c>
    </row>
    <row r="17" ht="18" customHeight="1" spans="1:5">
      <c r="A17" s="31" t="s">
        <v>267</v>
      </c>
      <c r="B17" s="31">
        <f>INDEX(D$3:D$10,MATCH(A17,A$3:A$10,0))*10</f>
        <v>0</v>
      </c>
      <c r="C17" s="31">
        <f>INDEX(F$3:F$10,MATCH(A17,A$3:A$10,0))*50</f>
        <v>0</v>
      </c>
      <c r="D17" s="31">
        <f t="shared" si="1"/>
        <v>0</v>
      </c>
      <c r="E17" s="31">
        <f t="shared" si="2"/>
        <v>0</v>
      </c>
    </row>
    <row r="18" ht="18" customHeight="1" spans="1:5">
      <c r="A18" s="24" t="s">
        <v>268</v>
      </c>
      <c r="B18" s="24">
        <f>INDEX(D$3:D$10,MATCH(A18,A$3:A$10,0))*10</f>
        <v>0</v>
      </c>
      <c r="C18" s="24">
        <f>INDEX(F$3:F$10,MATCH(A18,A$3:A$10,0))*50</f>
        <v>0</v>
      </c>
      <c r="D18" s="24">
        <f t="shared" si="1"/>
        <v>0</v>
      </c>
      <c r="E18" s="24">
        <f t="shared" si="2"/>
        <v>0</v>
      </c>
    </row>
    <row r="19" ht="18" customHeight="1" spans="1:5">
      <c r="A19" s="25" t="s">
        <v>269</v>
      </c>
      <c r="B19" s="25">
        <f>INDEX(D$3:D$10,MATCH(A19,A$3:A$10,0))*10</f>
        <v>0</v>
      </c>
      <c r="C19" s="25">
        <f>INDEX(F$3:F$10,MATCH(A19,A$3:A$10,0))*50</f>
        <v>0</v>
      </c>
      <c r="D19" s="25">
        <f t="shared" si="1"/>
        <v>0</v>
      </c>
      <c r="E19" s="25">
        <f t="shared" si="2"/>
        <v>0</v>
      </c>
    </row>
    <row r="20" ht="18" customHeight="1" spans="1:5">
      <c r="A20" s="26" t="s">
        <v>270</v>
      </c>
      <c r="B20" s="26">
        <f>INDEX(D$3:D$10,MATCH(A20,A$3:A$10,0))*10</f>
        <v>0</v>
      </c>
      <c r="C20" s="26">
        <f>INDEX(F$3:F$10,MATCH(A20,A$3:A$10,0))*50</f>
        <v>0</v>
      </c>
      <c r="D20" s="26">
        <f t="shared" si="1"/>
        <v>0</v>
      </c>
      <c r="E20" s="26">
        <f t="shared" si="2"/>
        <v>0</v>
      </c>
    </row>
    <row r="21" ht="18" customHeight="1" spans="1:5">
      <c r="A21" s="27" t="s">
        <v>271</v>
      </c>
      <c r="B21" s="27">
        <f>INDEX(D$3:D$10,MATCH(A21,A$3:A$10,0))*10</f>
        <v>0</v>
      </c>
      <c r="C21" s="27">
        <f>INDEX(F$3:F$10,MATCH(A21,A$3:A$10,0))*50</f>
        <v>0</v>
      </c>
      <c r="D21" s="27">
        <f t="shared" si="1"/>
        <v>0</v>
      </c>
      <c r="E21" s="27">
        <f t="shared" si="2"/>
        <v>0</v>
      </c>
    </row>
    <row r="23" s="14" customFormat="1" ht="23.25" customHeight="1" spans="1:1">
      <c r="A23" s="14" t="s">
        <v>277</v>
      </c>
    </row>
    <row r="24" s="15" customFormat="1" ht="19.5" customHeight="1" spans="1:26">
      <c r="A24" s="32" t="s">
        <v>278</v>
      </c>
      <c r="B24" s="33" t="s">
        <v>279</v>
      </c>
      <c r="C24" s="33" t="s">
        <v>280</v>
      </c>
      <c r="D24" s="33" t="s">
        <v>281</v>
      </c>
      <c r="E24" s="32" t="s">
        <v>282</v>
      </c>
      <c r="F24" s="33" t="s">
        <v>261</v>
      </c>
      <c r="G24" s="33" t="s">
        <v>283</v>
      </c>
      <c r="H24" s="34" t="s">
        <v>284</v>
      </c>
      <c r="I24" s="43" t="s">
        <v>285</v>
      </c>
      <c r="J24" s="44" t="s">
        <v>286</v>
      </c>
      <c r="K24" s="45" t="s">
        <v>287</v>
      </c>
      <c r="L24" s="46" t="s">
        <v>288</v>
      </c>
      <c r="M24" s="46" t="s">
        <v>289</v>
      </c>
      <c r="N24" s="46" t="s">
        <v>290</v>
      </c>
      <c r="O24" s="46" t="s">
        <v>291</v>
      </c>
      <c r="P24" s="46" t="s">
        <v>292</v>
      </c>
      <c r="Q24" s="46" t="s">
        <v>293</v>
      </c>
      <c r="R24" s="46" t="s">
        <v>294</v>
      </c>
      <c r="S24" s="46" t="s">
        <v>295</v>
      </c>
      <c r="T24" s="46" t="s">
        <v>296</v>
      </c>
      <c r="U24" s="46" t="s">
        <v>297</v>
      </c>
      <c r="V24" s="46" t="s">
        <v>298</v>
      </c>
      <c r="W24" s="46" t="s">
        <v>299</v>
      </c>
      <c r="X24" s="46" t="s">
        <v>300</v>
      </c>
      <c r="Y24" s="46" t="s">
        <v>301</v>
      </c>
      <c r="Z24" s="55" t="s">
        <v>302</v>
      </c>
    </row>
    <row r="25" ht="18.75" customHeight="1" spans="1:26">
      <c r="A25" s="35" t="s">
        <v>303</v>
      </c>
      <c r="B25" s="36" t="s">
        <v>304</v>
      </c>
      <c r="C25" s="37"/>
      <c r="D25" s="37" t="s">
        <v>305</v>
      </c>
      <c r="E25" s="32" t="s">
        <v>264</v>
      </c>
      <c r="F25" s="33"/>
      <c r="G25" s="33"/>
      <c r="H25" s="34">
        <f>SUMPRODUCT(SUMIF(队伍总览!B4:B19,L25:Z25,队伍总览!C4:C19))</f>
        <v>0</v>
      </c>
      <c r="I25" s="47" t="str">
        <f>IF(ABS(H25-H26)&gt;200,IF(H25&lt;H26,E25,E26),"均势")</f>
        <v>均势</v>
      </c>
      <c r="J25" s="48" t="s">
        <v>306</v>
      </c>
      <c r="K25" s="49" t="s">
        <v>307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6"/>
    </row>
    <row r="26" ht="18.75" customHeight="1" spans="1:26">
      <c r="A26" s="38"/>
      <c r="B26" s="39"/>
      <c r="C26" s="39"/>
      <c r="D26" s="39"/>
      <c r="E26" s="40" t="s">
        <v>265</v>
      </c>
      <c r="F26" s="41"/>
      <c r="G26" s="41"/>
      <c r="H26" s="42">
        <f t="array" ref="H26">SUMPRODUCT(SUMIF(队伍总览!F4:F19,L26:Z26,队伍总览!G4:G19))</f>
        <v>0</v>
      </c>
      <c r="I26" s="51"/>
      <c r="J26" s="52" t="s">
        <v>308</v>
      </c>
      <c r="K26" s="53" t="s">
        <v>309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7"/>
    </row>
    <row r="27" ht="18.75" customHeight="1" spans="1:26">
      <c r="A27" s="35" t="s">
        <v>303</v>
      </c>
      <c r="B27" s="37" t="s">
        <v>310</v>
      </c>
      <c r="C27" s="37"/>
      <c r="D27" s="37" t="s">
        <v>311</v>
      </c>
      <c r="E27" s="32" t="s">
        <v>266</v>
      </c>
      <c r="F27" s="33"/>
      <c r="G27" s="33"/>
      <c r="H27" s="34">
        <f t="array" ref="H27">SUMPRODUCT(SUMIF(队伍总览!J4:J19,L27:Z27,队伍总览!K4:K19))</f>
        <v>0</v>
      </c>
      <c r="I27" s="47" t="str">
        <f>IF(ABS(H27-H28)&gt;200,IF(H27&lt;H28,E27,E28),"均势")</f>
        <v>均势</v>
      </c>
      <c r="J27" s="48" t="s">
        <v>306</v>
      </c>
      <c r="K27" s="49" t="s">
        <v>307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6"/>
    </row>
    <row r="28" ht="18.75" customHeight="1" spans="1:26">
      <c r="A28" s="38"/>
      <c r="B28" s="39"/>
      <c r="C28" s="39"/>
      <c r="D28" s="39"/>
      <c r="E28" s="40" t="s">
        <v>267</v>
      </c>
      <c r="F28" s="41"/>
      <c r="G28" s="41"/>
      <c r="H28" s="42">
        <f t="array" ref="H28">SUMPRODUCT(SUMIF(队伍总览!N4:N19,L28:Z28,队伍总览!O4:O19))</f>
        <v>0</v>
      </c>
      <c r="I28" s="51"/>
      <c r="J28" s="52" t="s">
        <v>308</v>
      </c>
      <c r="K28" s="53" t="s">
        <v>309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7"/>
    </row>
    <row r="29" ht="18.75" customHeight="1" spans="1:26">
      <c r="A29" s="35" t="s">
        <v>303</v>
      </c>
      <c r="B29" s="37" t="s">
        <v>312</v>
      </c>
      <c r="C29" s="37"/>
      <c r="D29" s="37" t="s">
        <v>313</v>
      </c>
      <c r="E29" s="32" t="s">
        <v>268</v>
      </c>
      <c r="F29" s="33"/>
      <c r="G29" s="33"/>
      <c r="H29" s="34">
        <f>SUMPRODUCT(SUMIF(队伍总览!B36:B51,L29:Z29,队伍总览!C36:C51))</f>
        <v>0</v>
      </c>
      <c r="I29" s="47" t="str">
        <f>IF(ABS(H29-H30)&gt;200,IF(H29&lt;H30,E29,E30),"均势")</f>
        <v>均势</v>
      </c>
      <c r="J29" s="48" t="s">
        <v>306</v>
      </c>
      <c r="K29" s="49" t="s">
        <v>307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6"/>
    </row>
    <row r="30" ht="18.75" customHeight="1" spans="1:26">
      <c r="A30" s="38"/>
      <c r="B30" s="39"/>
      <c r="C30" s="39"/>
      <c r="D30" s="39"/>
      <c r="E30" s="40" t="s">
        <v>269</v>
      </c>
      <c r="F30" s="41"/>
      <c r="G30" s="41"/>
      <c r="H30" s="42">
        <f t="array" ref="H30">SUMPRODUCT(SUMIF(队伍总览!F36:F51,L30:Z30,队伍总览!G36:G51))</f>
        <v>0</v>
      </c>
      <c r="I30" s="51"/>
      <c r="J30" s="52" t="s">
        <v>308</v>
      </c>
      <c r="K30" s="53" t="s">
        <v>309</v>
      </c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7"/>
    </row>
    <row r="31" ht="18.75" customHeight="1" spans="1:26">
      <c r="A31" s="35" t="s">
        <v>303</v>
      </c>
      <c r="B31" s="37" t="s">
        <v>314</v>
      </c>
      <c r="C31" s="37"/>
      <c r="D31" s="37" t="s">
        <v>315</v>
      </c>
      <c r="E31" s="32" t="s">
        <v>270</v>
      </c>
      <c r="F31" s="33"/>
      <c r="G31" s="33"/>
      <c r="H31" s="34">
        <f t="array" ref="H31">SUMPRODUCT(SUMIF(队伍总览!J36:J51,L31:Z31,队伍总览!K36:K51))</f>
        <v>0</v>
      </c>
      <c r="I31" s="47" t="str">
        <f>IF(ABS(H31-H32)&gt;200,IF(H31&lt;H32,E31,E32),"均势")</f>
        <v>均势</v>
      </c>
      <c r="J31" s="48" t="s">
        <v>306</v>
      </c>
      <c r="K31" s="49" t="s">
        <v>307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6"/>
    </row>
    <row r="32" ht="18.75" customHeight="1" spans="1:26">
      <c r="A32" s="38"/>
      <c r="B32" s="39"/>
      <c r="C32" s="39"/>
      <c r="D32" s="39"/>
      <c r="E32" s="40" t="s">
        <v>271</v>
      </c>
      <c r="F32" s="41"/>
      <c r="G32" s="41"/>
      <c r="H32" s="42">
        <f t="array" ref="H32">SUMPRODUCT(SUMIF(队伍总览!N36:N51,L32:Z32,队伍总览!O36:O51))</f>
        <v>0</v>
      </c>
      <c r="I32" s="51"/>
      <c r="J32" s="52" t="s">
        <v>308</v>
      </c>
      <c r="K32" s="53" t="s">
        <v>309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7"/>
    </row>
    <row r="33" ht="18.75" customHeight="1" spans="1:26">
      <c r="A33" s="35" t="s">
        <v>316</v>
      </c>
      <c r="B33" s="37" t="s">
        <v>317</v>
      </c>
      <c r="C33" s="37"/>
      <c r="D33" s="37" t="s">
        <v>318</v>
      </c>
      <c r="E33" s="32" t="str">
        <f>IF(AND(NOT(ISBLANK(F25)),NOT(ISBLANK(F26))),IF(F25&gt;F26,E25,E26),"待定")</f>
        <v>待定</v>
      </c>
      <c r="F33" s="33"/>
      <c r="G33" s="33"/>
      <c r="H33" s="34">
        <f>SUMPRODUCT(SUMIF(队伍总览!B4:B19,L33:Z33,队伍总览!C4:C19))</f>
        <v>0</v>
      </c>
      <c r="I33" s="47" t="str">
        <f>IF(ABS(H33-H34)&gt;200,IF(H33&lt;H34,E33,E34),"均势")</f>
        <v>均势</v>
      </c>
      <c r="J33" s="48" t="s">
        <v>309</v>
      </c>
      <c r="K33" s="49" t="s">
        <v>307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6"/>
    </row>
    <row r="34" ht="18.75" customHeight="1" spans="1:26">
      <c r="A34" s="38"/>
      <c r="B34" s="39"/>
      <c r="C34" s="39"/>
      <c r="D34" s="39"/>
      <c r="E34" s="40" t="str">
        <f>IF(AND(NOT(ISBLANK(F27)),NOT(ISBLANK(F28))),IF(F27&gt;F28,E27,E28),"待定")</f>
        <v>待定</v>
      </c>
      <c r="F34" s="41"/>
      <c r="G34" s="41"/>
      <c r="H34" s="42">
        <f>SUMPRODUCT(SUMIF(队伍总览!F4:F19,L34:Z34,队伍总览!F4:F19))</f>
        <v>0</v>
      </c>
      <c r="I34" s="51"/>
      <c r="J34" s="52" t="s">
        <v>319</v>
      </c>
      <c r="K34" s="53" t="s">
        <v>306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7"/>
    </row>
    <row r="35" ht="18.75" customHeight="1" spans="1:26">
      <c r="A35" s="35" t="s">
        <v>316</v>
      </c>
      <c r="B35" s="37" t="s">
        <v>310</v>
      </c>
      <c r="C35" s="37"/>
      <c r="D35" s="37" t="s">
        <v>320</v>
      </c>
      <c r="E35" s="32" t="str">
        <f>IF(AND(NOT(ISBLANK(F25)),NOT(ISBLANK(F26))),IF(F25&lt;=F26,E25,E26),"待定")</f>
        <v>待定</v>
      </c>
      <c r="F35" s="33"/>
      <c r="G35" s="33"/>
      <c r="H35" s="34">
        <f>SUMPRODUCT(SUMIF(队伍总览!J4:J19,L35:Z35,队伍总览!J4:J19))</f>
        <v>0</v>
      </c>
      <c r="I35" s="47" t="str">
        <f>IF(ABS(H35-H36)&gt;200,IF(H35&lt;H36,E35,E36),"均势")</f>
        <v>均势</v>
      </c>
      <c r="J35" s="48" t="s">
        <v>309</v>
      </c>
      <c r="K35" s="49" t="s">
        <v>307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6"/>
    </row>
    <row r="36" ht="18.75" customHeight="1" spans="1:26">
      <c r="A36" s="38"/>
      <c r="B36" s="39"/>
      <c r="C36" s="39"/>
      <c r="D36" s="39"/>
      <c r="E36" s="40" t="str">
        <f>IF(AND(NOT(ISBLANK(F27)),NOT(ISBLANK(F28))),IF(F27&lt;=F28,E27,E28),"待定")</f>
        <v>待定</v>
      </c>
      <c r="F36" s="41"/>
      <c r="G36" s="41"/>
      <c r="H36" s="42">
        <f>SUMPRODUCT(SUMIF(队伍总览!N4:N19,L36:Z36,队伍总览!N4:N19))</f>
        <v>0</v>
      </c>
      <c r="I36" s="51"/>
      <c r="J36" s="52" t="s">
        <v>319</v>
      </c>
      <c r="K36" s="53" t="s">
        <v>306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7"/>
    </row>
    <row r="37" ht="18.75" customHeight="1" spans="1:26">
      <c r="A37" s="35" t="s">
        <v>321</v>
      </c>
      <c r="B37" s="37" t="s">
        <v>317</v>
      </c>
      <c r="C37" s="37"/>
      <c r="D37" s="37" t="s">
        <v>322</v>
      </c>
      <c r="E37" s="32" t="str">
        <f>IF(AND(NOT(ISBLANK(F29)),NOT(ISBLANK(F30))),IF(F29&gt;F30,E29,E30),"待定")</f>
        <v>待定</v>
      </c>
      <c r="F37" s="33"/>
      <c r="G37" s="33"/>
      <c r="H37" s="34">
        <f>SUMPRODUCT(SUMIF(队伍总览!B36:B51,L37:Z37,队伍总览!C36:C51))</f>
        <v>0</v>
      </c>
      <c r="I37" s="47" t="str">
        <f>IF(ABS(H37-H38)&gt;200,IF(H37&lt;H38,E37,E38),"均势")</f>
        <v>均势</v>
      </c>
      <c r="J37" s="48" t="s">
        <v>309</v>
      </c>
      <c r="K37" s="49" t="s">
        <v>307</v>
      </c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6"/>
    </row>
    <row r="38" ht="18.75" customHeight="1" spans="1:26">
      <c r="A38" s="38"/>
      <c r="B38" s="39"/>
      <c r="C38" s="39"/>
      <c r="D38" s="39"/>
      <c r="E38" s="40" t="str">
        <f>IF(AND(NOT(ISBLANK(F31)),NOT(ISBLANK(F32))),IF(F31&gt;F32,E31,E32),"待定")</f>
        <v>待定</v>
      </c>
      <c r="F38" s="41"/>
      <c r="G38" s="41"/>
      <c r="H38" s="42">
        <f>SUMPRODUCT(SUMIF(队伍总览!F36:F51,L38:Z38,队伍总览!F36:F51))</f>
        <v>0</v>
      </c>
      <c r="I38" s="51"/>
      <c r="J38" s="52" t="s">
        <v>319</v>
      </c>
      <c r="K38" s="53" t="s">
        <v>306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7"/>
    </row>
    <row r="39" ht="18.75" customHeight="1" spans="1:26">
      <c r="A39" s="35" t="s">
        <v>321</v>
      </c>
      <c r="B39" s="37" t="s">
        <v>310</v>
      </c>
      <c r="C39" s="37"/>
      <c r="D39" s="37" t="s">
        <v>323</v>
      </c>
      <c r="E39" s="32" t="str">
        <f>IF(AND(NOT(ISBLANK(F29)),NOT(ISBLANK(F30))),IF(F29&lt;=F30,E29,E30),"待定")</f>
        <v>待定</v>
      </c>
      <c r="F39" s="33"/>
      <c r="G39" s="33"/>
      <c r="H39" s="34">
        <f>SUMPRODUCT(SUMIF(队伍总览!J36:J51,L39:Z39,队伍总览!J36:J51))</f>
        <v>0</v>
      </c>
      <c r="I39" s="47" t="str">
        <f>IF(ABS(H39-H40)&gt;200,IF(H39&lt;H40,E39,E40),"均势")</f>
        <v>均势</v>
      </c>
      <c r="J39" s="48" t="s">
        <v>309</v>
      </c>
      <c r="K39" s="49" t="s">
        <v>307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6"/>
    </row>
    <row r="40" ht="18.75" customHeight="1" spans="1:26">
      <c r="A40" s="38"/>
      <c r="B40" s="39"/>
      <c r="C40" s="39"/>
      <c r="D40" s="39"/>
      <c r="E40" s="40" t="str">
        <f>IF(AND(NOT(ISBLANK(F31)),NOT(ISBLANK(F32))),IF(F31&lt;=F32,E31,E32),"待定")</f>
        <v>待定</v>
      </c>
      <c r="F40" s="41"/>
      <c r="G40" s="41"/>
      <c r="H40" s="42">
        <f>SUMPRODUCT(SUMIF(队伍总览!N36:N51,L40:Z40,队伍总览!N36:N51))</f>
        <v>0</v>
      </c>
      <c r="I40" s="51"/>
      <c r="J40" s="52" t="s">
        <v>319</v>
      </c>
      <c r="K40" s="53" t="s">
        <v>306</v>
      </c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7"/>
    </row>
    <row r="41" ht="17.25" customHeight="1"/>
  </sheetData>
  <mergeCells count="42">
    <mergeCell ref="A1:F1"/>
    <mergeCell ref="A12:E12"/>
    <mergeCell ref="A25:A26"/>
    <mergeCell ref="A27:A28"/>
    <mergeCell ref="A29:A30"/>
    <mergeCell ref="A31:A32"/>
    <mergeCell ref="A33:A34"/>
    <mergeCell ref="A35:A36"/>
    <mergeCell ref="A37:A38"/>
    <mergeCell ref="A39:A40"/>
    <mergeCell ref="B25:B26"/>
    <mergeCell ref="B27:B28"/>
    <mergeCell ref="B29:B30"/>
    <mergeCell ref="B31:B32"/>
    <mergeCell ref="B33:B34"/>
    <mergeCell ref="B35:B36"/>
    <mergeCell ref="B37:B38"/>
    <mergeCell ref="B39:B40"/>
    <mergeCell ref="C25:C26"/>
    <mergeCell ref="C27:C28"/>
    <mergeCell ref="C29:C30"/>
    <mergeCell ref="C31:C32"/>
    <mergeCell ref="C33:C34"/>
    <mergeCell ref="C35:C36"/>
    <mergeCell ref="C37:C38"/>
    <mergeCell ref="C39:C40"/>
    <mergeCell ref="D25:D26"/>
    <mergeCell ref="D27:D28"/>
    <mergeCell ref="D29:D30"/>
    <mergeCell ref="D31:D32"/>
    <mergeCell ref="D33:D34"/>
    <mergeCell ref="D35:D36"/>
    <mergeCell ref="D37:D38"/>
    <mergeCell ref="D39:D40"/>
    <mergeCell ref="I25:I26"/>
    <mergeCell ref="I27:I28"/>
    <mergeCell ref="I29:I30"/>
    <mergeCell ref="I31:I32"/>
    <mergeCell ref="I33:I34"/>
    <mergeCell ref="I35:I36"/>
    <mergeCell ref="I37:I38"/>
    <mergeCell ref="I39:I40"/>
  </mergeCells>
  <conditionalFormatting sqref="I$1:I$1048576">
    <cfRule type="cellIs" dxfId="18" priority="9" operator="equal">
      <formula>"【NikoFC】"</formula>
    </cfRule>
    <cfRule type="cellIs" dxfId="19" priority="10" operator="equal">
      <formula>"【Miniworld】"</formula>
    </cfRule>
    <cfRule type="cellIs" dxfId="20" priority="11" operator="equal">
      <formula>"【TV】"</formula>
    </cfRule>
    <cfRule type="cellIs" dxfId="21" priority="12" operator="equal">
      <formula>"【G2】"</formula>
    </cfRule>
    <cfRule type="cellIs" dxfId="22" priority="13" operator="equal">
      <formula>"【AWO】"</formula>
    </cfRule>
    <cfRule type="cellIs" dxfId="23" priority="14" operator="equal">
      <formula>"【OldH】"</formula>
    </cfRule>
    <cfRule type="cellIs" dxfId="24" priority="15" operator="equal">
      <formula>"【SSR】"</formula>
    </cfRule>
    <cfRule type="cellIs" dxfId="25" priority="16" operator="equal">
      <formula>"【Cbhz】"</formula>
    </cfRule>
    <cfRule type="cellIs" dxfId="26" priority="17" operator="equal">
      <formula>"均势"</formula>
    </cfRule>
  </conditionalFormatting>
  <conditionalFormatting sqref="E$1:H$1048576">
    <cfRule type="expression" dxfId="27" priority="18">
      <formula>$E1="【NikoFC】"</formula>
    </cfRule>
    <cfRule type="expression" dxfId="28" priority="19">
      <formula>$E1="【Miniworld】"</formula>
    </cfRule>
    <cfRule type="expression" dxfId="29" priority="20">
      <formula>$E1="【TV】"</formula>
    </cfRule>
    <cfRule type="expression" dxfId="30" priority="21">
      <formula>$E1="【G2】"</formula>
    </cfRule>
    <cfRule type="expression" dxfId="31" priority="22">
      <formula>$E1="【AWO】"</formula>
    </cfRule>
    <cfRule type="expression" dxfId="32" priority="23">
      <formula>$E1="【OldH】"</formula>
    </cfRule>
    <cfRule type="expression" dxfId="33" priority="24">
      <formula>$E1="【SSR】"</formula>
    </cfRule>
    <cfRule type="expression" dxfId="34" priority="25">
      <formula>$E1="【Cbhz】"</formula>
    </cfRule>
  </conditionalFormatting>
  <conditionalFormatting sqref="J$1:K$1048576">
    <cfRule type="cellIs" dxfId="35" priority="26" operator="equal">
      <formula>"萨兰德 Sarranid"</formula>
    </cfRule>
    <cfRule type="cellIs" dxfId="36" priority="27" operator="equal">
      <formula>"维基亚 Veagir"</formula>
    </cfRule>
    <cfRule type="cellIs" dxfId="37" priority="28" operator="equal">
      <formula>"斯瓦迪亚 Swadia"</formula>
    </cfRule>
    <cfRule type="cellIs" dxfId="38" priority="29" operator="equal">
      <formula>"罗多克 Rhodok"</formula>
    </cfRule>
    <cfRule type="cellIs" dxfId="39" priority="30" operator="equal">
      <formula>"诺德 Nord"</formula>
    </cfRule>
  </conditionalFormatting>
  <conditionalFormatting sqref="L$1:Z$1048576">
    <cfRule type="expression" dxfId="40" priority="1">
      <formula>$E1="【NikoFC】"</formula>
    </cfRule>
    <cfRule type="expression" dxfId="41" priority="2">
      <formula>$E1="【Miniworld】"</formula>
    </cfRule>
    <cfRule type="expression" dxfId="42" priority="3">
      <formula>$E1="【TV】"</formula>
    </cfRule>
    <cfRule type="expression" dxfId="43" priority="4">
      <formula>$E1="【G2】"</formula>
    </cfRule>
    <cfRule type="expression" dxfId="44" priority="5">
      <formula>$E1="【AWO】"</formula>
    </cfRule>
    <cfRule type="expression" dxfId="45" priority="6">
      <formula>$E1="【OldH】"</formula>
    </cfRule>
    <cfRule type="expression" dxfId="46" priority="7">
      <formula>$E1="【SSR】"</formula>
    </cfRule>
    <cfRule type="expression" dxfId="47" priority="8">
      <formula>$E1="【Cbhz】"</formula>
    </cfRule>
  </conditionalFormatting>
  <dataValidations count="241">
    <dataValidation type="list" showInputMessage="1" showErrorMessage="1" sqref="L25">
      <formula1>队伍总览!B4:B19</formula1>
    </dataValidation>
    <dataValidation type="list" showInputMessage="1" showErrorMessage="1" sqref="M25">
      <formula1>队伍总览!B4:B19</formula1>
    </dataValidation>
    <dataValidation type="list" showInputMessage="1" showErrorMessage="1" sqref="N25">
      <formula1>队伍总览!B4:B19</formula1>
    </dataValidation>
    <dataValidation type="list" showInputMessage="1" showErrorMessage="1" sqref="O25">
      <formula1>队伍总览!B4:B19</formula1>
    </dataValidation>
    <dataValidation type="list" showInputMessage="1" showErrorMessage="1" sqref="P25">
      <formula1>队伍总览!B4:B19</formula1>
    </dataValidation>
    <dataValidation type="list" showInputMessage="1" showErrorMessage="1" sqref="Q25">
      <formula1>队伍总览!B4:B19</formula1>
    </dataValidation>
    <dataValidation type="list" showInputMessage="1" showErrorMessage="1" sqref="R25">
      <formula1>队伍总览!B4:B19</formula1>
    </dataValidation>
    <dataValidation type="list" showInputMessage="1" showErrorMessage="1" sqref="S25">
      <formula1>队伍总览!B4:B19</formula1>
    </dataValidation>
    <dataValidation type="list" showInputMessage="1" showErrorMessage="1" sqref="T25">
      <formula1>队伍总览!B4:B19</formula1>
    </dataValidation>
    <dataValidation type="list" showInputMessage="1" showErrorMessage="1" sqref="U25">
      <formula1>队伍总览!B4:B19</formula1>
    </dataValidation>
    <dataValidation type="list" showInputMessage="1" showErrorMessage="1" sqref="V25">
      <formula1>队伍总览!B4:B19</formula1>
    </dataValidation>
    <dataValidation type="list" showInputMessage="1" showErrorMessage="1" sqref="W25">
      <formula1>队伍总览!B4:B19</formula1>
    </dataValidation>
    <dataValidation type="list" showInputMessage="1" showErrorMessage="1" sqref="X25">
      <formula1>队伍总览!B4:B19</formula1>
    </dataValidation>
    <dataValidation type="list" showInputMessage="1" showErrorMessage="1" sqref="Y25">
      <formula1>队伍总览!B4:B19</formula1>
    </dataValidation>
    <dataValidation type="list" showInputMessage="1" showErrorMessage="1" sqref="Z25">
      <formula1>队伍总览!B4:B19</formula1>
    </dataValidation>
    <dataValidation type="list" showInputMessage="1" showErrorMessage="1" sqref="L26">
      <formula1>队伍总览!F4:F19</formula1>
    </dataValidation>
    <dataValidation type="list" showInputMessage="1" showErrorMessage="1" sqref="M26">
      <formula1>队伍总览!F4:F19</formula1>
    </dataValidation>
    <dataValidation type="list" showInputMessage="1" showErrorMessage="1" sqref="N26">
      <formula1>队伍总览!F4:F19</formula1>
    </dataValidation>
    <dataValidation type="list" showInputMessage="1" showErrorMessage="1" sqref="O26">
      <formula1>队伍总览!F4:F19</formula1>
    </dataValidation>
    <dataValidation type="list" showInputMessage="1" showErrorMessage="1" sqref="P26">
      <formula1>队伍总览!F4:F19</formula1>
    </dataValidation>
    <dataValidation type="list" showInputMessage="1" showErrorMessage="1" sqref="Q26">
      <formula1>队伍总览!F4:F19</formula1>
    </dataValidation>
    <dataValidation type="list" showInputMessage="1" showErrorMessage="1" sqref="R26">
      <formula1>队伍总览!F4:F19</formula1>
    </dataValidation>
    <dataValidation type="list" showInputMessage="1" showErrorMessage="1" sqref="S26">
      <formula1>队伍总览!F4:F19</formula1>
    </dataValidation>
    <dataValidation type="list" showInputMessage="1" showErrorMessage="1" sqref="T26">
      <formula1>队伍总览!F4:F19</formula1>
    </dataValidation>
    <dataValidation type="list" showInputMessage="1" showErrorMessage="1" sqref="U26">
      <formula1>队伍总览!F4:F19</formula1>
    </dataValidation>
    <dataValidation type="list" showInputMessage="1" showErrorMessage="1" sqref="V26">
      <formula1>队伍总览!F4:F19</formula1>
    </dataValidation>
    <dataValidation type="list" showInputMessage="1" showErrorMessage="1" sqref="W26">
      <formula1>队伍总览!F4:F19</formula1>
    </dataValidation>
    <dataValidation type="list" showInputMessage="1" showErrorMessage="1" sqref="X26">
      <formula1>队伍总览!F4:F19</formula1>
    </dataValidation>
    <dataValidation type="list" showInputMessage="1" showErrorMessage="1" sqref="Y26">
      <formula1>队伍总览!F4:F19</formula1>
    </dataValidation>
    <dataValidation type="list" showInputMessage="1" showErrorMessage="1" sqref="Z26">
      <formula1>队伍总览!F4:F19</formula1>
    </dataValidation>
    <dataValidation type="list" showInputMessage="1" showErrorMessage="1" sqref="L27">
      <formula1>队伍总览!J4:J19</formula1>
    </dataValidation>
    <dataValidation type="list" showInputMessage="1" showErrorMessage="1" sqref="M27">
      <formula1>队伍总览!J4:J19</formula1>
    </dataValidation>
    <dataValidation type="list" showInputMessage="1" showErrorMessage="1" sqref="N27">
      <formula1>队伍总览!J4:J19</formula1>
    </dataValidation>
    <dataValidation type="list" showInputMessage="1" showErrorMessage="1" sqref="O27">
      <formula1>队伍总览!J4:J19</formula1>
    </dataValidation>
    <dataValidation type="list" showInputMessage="1" showErrorMessage="1" sqref="P27">
      <formula1>队伍总览!J4:J19</formula1>
    </dataValidation>
    <dataValidation type="list" showInputMessage="1" showErrorMessage="1" sqref="Q27">
      <formula1>队伍总览!J4:J19</formula1>
    </dataValidation>
    <dataValidation type="list" showInputMessage="1" showErrorMessage="1" sqref="R27">
      <formula1>队伍总览!J4:J19</formula1>
    </dataValidation>
    <dataValidation type="list" showInputMessage="1" showErrorMessage="1" sqref="S27">
      <formula1>队伍总览!J4:J19</formula1>
    </dataValidation>
    <dataValidation type="list" showInputMessage="1" showErrorMessage="1" sqref="T27">
      <formula1>队伍总览!J4:J19</formula1>
    </dataValidation>
    <dataValidation type="list" showInputMessage="1" showErrorMessage="1" sqref="U27">
      <formula1>队伍总览!J4:J19</formula1>
    </dataValidation>
    <dataValidation type="list" showInputMessage="1" showErrorMessage="1" sqref="V27">
      <formula1>队伍总览!J4:J19</formula1>
    </dataValidation>
    <dataValidation type="list" showInputMessage="1" showErrorMessage="1" sqref="W27">
      <formula1>队伍总览!J4:J19</formula1>
    </dataValidation>
    <dataValidation type="list" showInputMessage="1" showErrorMessage="1" sqref="X27">
      <formula1>队伍总览!J4:J19</formula1>
    </dataValidation>
    <dataValidation type="list" showInputMessage="1" showErrorMessage="1" sqref="Y27">
      <formula1>队伍总览!J4:J19</formula1>
    </dataValidation>
    <dataValidation type="list" showInputMessage="1" showErrorMessage="1" sqref="Z27">
      <formula1>队伍总览!J4:J19</formula1>
    </dataValidation>
    <dataValidation type="list" showInputMessage="1" showErrorMessage="1" sqref="L28">
      <formula1>队伍总览!N4:N19</formula1>
    </dataValidation>
    <dataValidation type="list" showInputMessage="1" showErrorMessage="1" sqref="M28">
      <formula1>队伍总览!N4:N19</formula1>
    </dataValidation>
    <dataValidation type="list" showInputMessage="1" showErrorMessage="1" sqref="N28">
      <formula1>队伍总览!N4:N19</formula1>
    </dataValidation>
    <dataValidation type="list" showInputMessage="1" showErrorMessage="1" sqref="O28">
      <formula1>队伍总览!N4:N19</formula1>
    </dataValidation>
    <dataValidation type="list" showInputMessage="1" showErrorMessage="1" sqref="P28">
      <formula1>队伍总览!N4:N19</formula1>
    </dataValidation>
    <dataValidation type="list" showInputMessage="1" showErrorMessage="1" sqref="Q28">
      <formula1>队伍总览!N4:N19</formula1>
    </dataValidation>
    <dataValidation type="list" showInputMessage="1" showErrorMessage="1" sqref="R28">
      <formula1>队伍总览!N4:N19</formula1>
    </dataValidation>
    <dataValidation type="list" showInputMessage="1" showErrorMessage="1" sqref="S28">
      <formula1>队伍总览!N4:N19</formula1>
    </dataValidation>
    <dataValidation type="list" showInputMessage="1" showErrorMessage="1" sqref="T28">
      <formula1>队伍总览!N4:N19</formula1>
    </dataValidation>
    <dataValidation type="list" showInputMessage="1" showErrorMessage="1" sqref="U28">
      <formula1>队伍总览!N4:N19</formula1>
    </dataValidation>
    <dataValidation type="list" showInputMessage="1" showErrorMessage="1" sqref="V28">
      <formula1>队伍总览!N4:N19</formula1>
    </dataValidation>
    <dataValidation type="list" showInputMessage="1" showErrorMessage="1" sqref="W28">
      <formula1>队伍总览!N4:N19</formula1>
    </dataValidation>
    <dataValidation type="list" showInputMessage="1" showErrorMessage="1" sqref="X28">
      <formula1>队伍总览!N4:N19</formula1>
    </dataValidation>
    <dataValidation type="list" showInputMessage="1" showErrorMessage="1" sqref="Y28">
      <formula1>队伍总览!N4:N19</formula1>
    </dataValidation>
    <dataValidation type="list" showInputMessage="1" showErrorMessage="1" sqref="Z28">
      <formula1>队伍总览!N4:N19</formula1>
    </dataValidation>
    <dataValidation type="list" showInputMessage="1" showErrorMessage="1" sqref="L29">
      <formula1>队伍总览!B36:B51</formula1>
    </dataValidation>
    <dataValidation type="list" showInputMessage="1" showErrorMessage="1" sqref="M29">
      <formula1>队伍总览!B36:B51</formula1>
    </dataValidation>
    <dataValidation type="list" showInputMessage="1" showErrorMessage="1" sqref="N29">
      <formula1>队伍总览!B36:B51</formula1>
    </dataValidation>
    <dataValidation type="list" showInputMessage="1" showErrorMessage="1" sqref="O29">
      <formula1>队伍总览!B36:B51</formula1>
    </dataValidation>
    <dataValidation type="list" showInputMessage="1" showErrorMessage="1" sqref="P29">
      <formula1>队伍总览!B36:B51</formula1>
    </dataValidation>
    <dataValidation type="list" showInputMessage="1" showErrorMessage="1" sqref="Q29">
      <formula1>队伍总览!B36:B51</formula1>
    </dataValidation>
    <dataValidation type="list" showInputMessage="1" showErrorMessage="1" sqref="R29">
      <formula1>队伍总览!B36:B51</formula1>
    </dataValidation>
    <dataValidation type="list" showInputMessage="1" showErrorMessage="1" sqref="S29">
      <formula1>队伍总览!B36:B51</formula1>
    </dataValidation>
    <dataValidation type="list" showInputMessage="1" showErrorMessage="1" sqref="T29">
      <formula1>队伍总览!B36:B51</formula1>
    </dataValidation>
    <dataValidation type="list" showInputMessage="1" showErrorMessage="1" sqref="U29">
      <formula1>队伍总览!B36:B51</formula1>
    </dataValidation>
    <dataValidation type="list" showInputMessage="1" showErrorMessage="1" sqref="V29">
      <formula1>队伍总览!B36:B51</formula1>
    </dataValidation>
    <dataValidation type="list" showInputMessage="1" showErrorMessage="1" sqref="W29">
      <formula1>队伍总览!B36:B51</formula1>
    </dataValidation>
    <dataValidation type="list" showInputMessage="1" showErrorMessage="1" sqref="X29">
      <formula1>队伍总览!B36:B51</formula1>
    </dataValidation>
    <dataValidation type="list" showInputMessage="1" showErrorMessage="1" sqref="Y29">
      <formula1>队伍总览!B36:B51</formula1>
    </dataValidation>
    <dataValidation type="list" showInputMessage="1" showErrorMessage="1" sqref="Z29">
      <formula1>队伍总览!B36:B51</formula1>
    </dataValidation>
    <dataValidation type="list" showInputMessage="1" showErrorMessage="1" sqref="L30">
      <formula1>队伍总览!F36:F51</formula1>
    </dataValidation>
    <dataValidation type="list" showInputMessage="1" showErrorMessage="1" sqref="M30">
      <formula1>队伍总览!F36:F51</formula1>
    </dataValidation>
    <dataValidation type="list" showInputMessage="1" showErrorMessage="1" sqref="N30">
      <formula1>队伍总览!F36:F51</formula1>
    </dataValidation>
    <dataValidation type="list" showInputMessage="1" showErrorMessage="1" sqref="O30">
      <formula1>队伍总览!F36:F51</formula1>
    </dataValidation>
    <dataValidation type="list" showInputMessage="1" showErrorMessage="1" sqref="P30">
      <formula1>队伍总览!F36:F51</formula1>
    </dataValidation>
    <dataValidation type="list" showInputMessage="1" showErrorMessage="1" sqref="Q30">
      <formula1>队伍总览!F36:F51</formula1>
    </dataValidation>
    <dataValidation type="list" showInputMessage="1" showErrorMessage="1" sqref="R30">
      <formula1>队伍总览!F36:F51</formula1>
    </dataValidation>
    <dataValidation type="list" showInputMessage="1" showErrorMessage="1" sqref="S30">
      <formula1>队伍总览!F36:F51</formula1>
    </dataValidation>
    <dataValidation type="list" showInputMessage="1" showErrorMessage="1" sqref="T30">
      <formula1>队伍总览!F36:F51</formula1>
    </dataValidation>
    <dataValidation type="list" showInputMessage="1" showErrorMessage="1" sqref="U30">
      <formula1>队伍总览!F36:F51</formula1>
    </dataValidation>
    <dataValidation type="list" showInputMessage="1" showErrorMessage="1" sqref="V30">
      <formula1>队伍总览!F36:F51</formula1>
    </dataValidation>
    <dataValidation type="list" showInputMessage="1" showErrorMessage="1" sqref="W30">
      <formula1>队伍总览!F36:F51</formula1>
    </dataValidation>
    <dataValidation type="list" showInputMessage="1" showErrorMessage="1" sqref="X30">
      <formula1>队伍总览!F36:F51</formula1>
    </dataValidation>
    <dataValidation type="list" showInputMessage="1" showErrorMessage="1" sqref="Y30">
      <formula1>队伍总览!F36:F51</formula1>
    </dataValidation>
    <dataValidation type="list" showInputMessage="1" showErrorMessage="1" sqref="Z30">
      <formula1>队伍总览!F36:F51</formula1>
    </dataValidation>
    <dataValidation type="list" showInputMessage="1" showErrorMessage="1" sqref="L31">
      <formula1>队伍总览!J36:J51</formula1>
    </dataValidation>
    <dataValidation type="list" showInputMessage="1" showErrorMessage="1" sqref="M31">
      <formula1>队伍总览!J36:J51</formula1>
    </dataValidation>
    <dataValidation type="list" showInputMessage="1" showErrorMessage="1" sqref="N31">
      <formula1>队伍总览!J36:J51</formula1>
    </dataValidation>
    <dataValidation type="list" showInputMessage="1" showErrorMessage="1" sqref="O31">
      <formula1>队伍总览!J36:J51</formula1>
    </dataValidation>
    <dataValidation type="list" showInputMessage="1" showErrorMessage="1" sqref="P31">
      <formula1>队伍总览!J36:J51</formula1>
    </dataValidation>
    <dataValidation type="list" showInputMessage="1" showErrorMessage="1" sqref="Q31">
      <formula1>队伍总览!J36:J51</formula1>
    </dataValidation>
    <dataValidation type="list" showInputMessage="1" showErrorMessage="1" sqref="R31">
      <formula1>队伍总览!J36:J51</formula1>
    </dataValidation>
    <dataValidation type="list" showInputMessage="1" showErrorMessage="1" sqref="S31">
      <formula1>队伍总览!J36:J51</formula1>
    </dataValidation>
    <dataValidation type="list" showInputMessage="1" showErrorMessage="1" sqref="T31">
      <formula1>队伍总览!J36:J51</formula1>
    </dataValidation>
    <dataValidation type="list" showInputMessage="1" showErrorMessage="1" sqref="U31">
      <formula1>队伍总览!J36:J51</formula1>
    </dataValidation>
    <dataValidation type="list" showInputMessage="1" showErrorMessage="1" sqref="V31">
      <formula1>队伍总览!J36:J51</formula1>
    </dataValidation>
    <dataValidation type="list" showInputMessage="1" showErrorMessage="1" sqref="W31">
      <formula1>队伍总览!J36:J51</formula1>
    </dataValidation>
    <dataValidation type="list" showInputMessage="1" showErrorMessage="1" sqref="X31">
      <formula1>队伍总览!J36:J51</formula1>
    </dataValidation>
    <dataValidation type="list" showInputMessage="1" showErrorMessage="1" sqref="Y31">
      <formula1>队伍总览!J36:J51</formula1>
    </dataValidation>
    <dataValidation type="list" showInputMessage="1" showErrorMessage="1" sqref="Z31">
      <formula1>队伍总览!J36:J51</formula1>
    </dataValidation>
    <dataValidation type="list" showInputMessage="1" showErrorMessage="1" sqref="L32">
      <formula1>队伍总览!N36:N51</formula1>
    </dataValidation>
    <dataValidation type="list" showInputMessage="1" showErrorMessage="1" sqref="M32">
      <formula1>队伍总览!N36:N51</formula1>
    </dataValidation>
    <dataValidation type="list" showInputMessage="1" showErrorMessage="1" sqref="N32">
      <formula1>队伍总览!N36:N51</formula1>
    </dataValidation>
    <dataValidation type="list" showInputMessage="1" showErrorMessage="1" sqref="O32">
      <formula1>队伍总览!N36:N51</formula1>
    </dataValidation>
    <dataValidation type="list" showInputMessage="1" showErrorMessage="1" sqref="P32">
      <formula1>队伍总览!N36:N51</formula1>
    </dataValidation>
    <dataValidation type="list" showInputMessage="1" showErrorMessage="1" sqref="Q32">
      <formula1>队伍总览!N36:N51</formula1>
    </dataValidation>
    <dataValidation type="list" showInputMessage="1" showErrorMessage="1" sqref="R32">
      <formula1>队伍总览!N36:N51</formula1>
    </dataValidation>
    <dataValidation type="list" showInputMessage="1" showErrorMessage="1" sqref="S32">
      <formula1>队伍总览!N36:N51</formula1>
    </dataValidation>
    <dataValidation type="list" showInputMessage="1" showErrorMessage="1" sqref="T32">
      <formula1>队伍总览!N36:N51</formula1>
    </dataValidation>
    <dataValidation type="list" showInputMessage="1" showErrorMessage="1" sqref="U32">
      <formula1>队伍总览!N36:N51</formula1>
    </dataValidation>
    <dataValidation type="list" showInputMessage="1" showErrorMessage="1" sqref="V32">
      <formula1>队伍总览!N36:N51</formula1>
    </dataValidation>
    <dataValidation type="list" showInputMessage="1" showErrorMessage="1" sqref="W32">
      <formula1>队伍总览!N36:N51</formula1>
    </dataValidation>
    <dataValidation type="list" showInputMessage="1" showErrorMessage="1" sqref="X32">
      <formula1>队伍总览!N36:N51</formula1>
    </dataValidation>
    <dataValidation type="list" showInputMessage="1" showErrorMessage="1" sqref="Y32">
      <formula1>队伍总览!N36:N51</formula1>
    </dataValidation>
    <dataValidation type="list" showInputMessage="1" showErrorMessage="1" sqref="Z32">
      <formula1>队伍总览!N36:N51</formula1>
    </dataValidation>
    <dataValidation type="list" showInputMessage="1" showErrorMessage="1" sqref="L33">
      <formula1>队伍总览!B4:B19</formula1>
    </dataValidation>
    <dataValidation type="list" showInputMessage="1" showErrorMessage="1" sqref="M33">
      <formula1>队伍总览!B4:B19</formula1>
    </dataValidation>
    <dataValidation type="list" showInputMessage="1" showErrorMessage="1" sqref="N33">
      <formula1>队伍总览!B4:B19</formula1>
    </dataValidation>
    <dataValidation type="list" showInputMessage="1" showErrorMessage="1" sqref="O33">
      <formula1>队伍总览!B4:B19</formula1>
    </dataValidation>
    <dataValidation type="list" showInputMessage="1" showErrorMessage="1" sqref="P33">
      <formula1>队伍总览!B4:B19</formula1>
    </dataValidation>
    <dataValidation type="list" showInputMessage="1" showErrorMessage="1" sqref="Q33">
      <formula1>队伍总览!B4:B19</formula1>
    </dataValidation>
    <dataValidation type="list" showInputMessage="1" showErrorMessage="1" sqref="R33">
      <formula1>队伍总览!B4:B19</formula1>
    </dataValidation>
    <dataValidation type="list" showInputMessage="1" showErrorMessage="1" sqref="S33">
      <formula1>队伍总览!B4:B19</formula1>
    </dataValidation>
    <dataValidation type="list" showInputMessage="1" showErrorMessage="1" sqref="T33">
      <formula1>队伍总览!B4:B19</formula1>
    </dataValidation>
    <dataValidation type="list" showInputMessage="1" showErrorMessage="1" sqref="U33">
      <formula1>队伍总览!B4:B19</formula1>
    </dataValidation>
    <dataValidation type="list" showInputMessage="1" showErrorMessage="1" sqref="V33">
      <formula1>队伍总览!B4:B19</formula1>
    </dataValidation>
    <dataValidation type="list" showInputMessage="1" showErrorMessage="1" sqref="W33">
      <formula1>队伍总览!B4:B19</formula1>
    </dataValidation>
    <dataValidation type="list" showInputMessage="1" showErrorMessage="1" sqref="X33">
      <formula1>队伍总览!B4:B19</formula1>
    </dataValidation>
    <dataValidation type="list" showInputMessage="1" showErrorMessage="1" sqref="Y33">
      <formula1>队伍总览!B4:B19</formula1>
    </dataValidation>
    <dataValidation type="list" showInputMessage="1" showErrorMessage="1" sqref="Z33">
      <formula1>队伍总览!B4:B19</formula1>
    </dataValidation>
    <dataValidation type="list" showInputMessage="1" showErrorMessage="1" sqref="L34">
      <formula1>队伍总览!F4:F19</formula1>
    </dataValidation>
    <dataValidation type="list" showInputMessage="1" showErrorMessage="1" sqref="M34">
      <formula1>队伍总览!F4:F19</formula1>
    </dataValidation>
    <dataValidation type="list" showInputMessage="1" showErrorMessage="1" sqref="N34">
      <formula1>队伍总览!F4:F19</formula1>
    </dataValidation>
    <dataValidation type="list" showInputMessage="1" showErrorMessage="1" sqref="O34">
      <formula1>队伍总览!F4:F19</formula1>
    </dataValidation>
    <dataValidation type="list" showInputMessage="1" showErrorMessage="1" sqref="P34">
      <formula1>队伍总览!F4:F19</formula1>
    </dataValidation>
    <dataValidation type="list" showInputMessage="1" showErrorMessage="1" sqref="Q34">
      <formula1>队伍总览!F4:F19</formula1>
    </dataValidation>
    <dataValidation type="list" showInputMessage="1" showErrorMessage="1" sqref="R34">
      <formula1>队伍总览!F4:F19</formula1>
    </dataValidation>
    <dataValidation type="list" showInputMessage="1" showErrorMessage="1" sqref="S34">
      <formula1>队伍总览!F4:F19</formula1>
    </dataValidation>
    <dataValidation type="list" showInputMessage="1" showErrorMessage="1" sqref="T34">
      <formula1>队伍总览!F4:F19</formula1>
    </dataValidation>
    <dataValidation type="list" showInputMessage="1" showErrorMessage="1" sqref="U34">
      <formula1>队伍总览!F4:F19</formula1>
    </dataValidation>
    <dataValidation type="list" showInputMessage="1" showErrorMessage="1" sqref="V34">
      <formula1>队伍总览!F4:F19</formula1>
    </dataValidation>
    <dataValidation type="list" showInputMessage="1" showErrorMessage="1" sqref="W34">
      <formula1>队伍总览!F4:F19</formula1>
    </dataValidation>
    <dataValidation type="list" showInputMessage="1" showErrorMessage="1" sqref="X34">
      <formula1>队伍总览!F4:F19</formula1>
    </dataValidation>
    <dataValidation type="list" showInputMessage="1" showErrorMessage="1" sqref="Y34">
      <formula1>队伍总览!F4:F19</formula1>
    </dataValidation>
    <dataValidation type="list" showInputMessage="1" showErrorMessage="1" sqref="Z34">
      <formula1>队伍总览!F4:F19</formula1>
    </dataValidation>
    <dataValidation type="list" showInputMessage="1" showErrorMessage="1" sqref="L35">
      <formula1>队伍总览!J4:J19</formula1>
    </dataValidation>
    <dataValidation type="list" showInputMessage="1" showErrorMessage="1" sqref="M35">
      <formula1>队伍总览!J4:J19</formula1>
    </dataValidation>
    <dataValidation type="list" showInputMessage="1" showErrorMessage="1" sqref="N35">
      <formula1>队伍总览!J4:J19</formula1>
    </dataValidation>
    <dataValidation type="list" showInputMessage="1" showErrorMessage="1" sqref="O35">
      <formula1>队伍总览!J4:J19</formula1>
    </dataValidation>
    <dataValidation type="list" showInputMessage="1" showErrorMessage="1" sqref="P35">
      <formula1>队伍总览!J4:J19</formula1>
    </dataValidation>
    <dataValidation type="list" showInputMessage="1" showErrorMessage="1" sqref="Q35">
      <formula1>队伍总览!J4:J19</formula1>
    </dataValidation>
    <dataValidation type="list" showInputMessage="1" showErrorMessage="1" sqref="R35">
      <formula1>队伍总览!J4:J19</formula1>
    </dataValidation>
    <dataValidation type="list" showInputMessage="1" showErrorMessage="1" sqref="S35">
      <formula1>队伍总览!J4:J19</formula1>
    </dataValidation>
    <dataValidation type="list" showInputMessage="1" showErrorMessage="1" sqref="T35">
      <formula1>队伍总览!J4:J19</formula1>
    </dataValidation>
    <dataValidation type="list" showInputMessage="1" showErrorMessage="1" sqref="U35">
      <formula1>队伍总览!J4:J19</formula1>
    </dataValidation>
    <dataValidation type="list" showInputMessage="1" showErrorMessage="1" sqref="V35">
      <formula1>队伍总览!J4:J19</formula1>
    </dataValidation>
    <dataValidation type="list" showInputMessage="1" showErrorMessage="1" sqref="W35">
      <formula1>队伍总览!J4:J19</formula1>
    </dataValidation>
    <dataValidation type="list" showInputMessage="1" showErrorMessage="1" sqref="X35">
      <formula1>队伍总览!J4:J19</formula1>
    </dataValidation>
    <dataValidation type="list" showInputMessage="1" showErrorMessage="1" sqref="Y35">
      <formula1>队伍总览!J4:J19</formula1>
    </dataValidation>
    <dataValidation type="list" showInputMessage="1" showErrorMessage="1" sqref="Z35">
      <formula1>队伍总览!J4:J19</formula1>
    </dataValidation>
    <dataValidation type="list" showInputMessage="1" showErrorMessage="1" sqref="L36">
      <formula1>队伍总览!N4:N19</formula1>
    </dataValidation>
    <dataValidation type="list" showInputMessage="1" showErrorMessage="1" sqref="M36">
      <formula1>队伍总览!N4:N19</formula1>
    </dataValidation>
    <dataValidation type="list" showInputMessage="1" showErrorMessage="1" sqref="N36">
      <formula1>队伍总览!N4:N19</formula1>
    </dataValidation>
    <dataValidation type="list" showInputMessage="1" showErrorMessage="1" sqref="O36">
      <formula1>队伍总览!N4:N19</formula1>
    </dataValidation>
    <dataValidation type="list" showInputMessage="1" showErrorMessage="1" sqref="P36">
      <formula1>队伍总览!N4:N19</formula1>
    </dataValidation>
    <dataValidation type="list" showInputMessage="1" showErrorMessage="1" sqref="Q36">
      <formula1>队伍总览!N4:N19</formula1>
    </dataValidation>
    <dataValidation type="list" showInputMessage="1" showErrorMessage="1" sqref="R36">
      <formula1>队伍总览!N4:N19</formula1>
    </dataValidation>
    <dataValidation type="list" showInputMessage="1" showErrorMessage="1" sqref="S36">
      <formula1>队伍总览!N4:N19</formula1>
    </dataValidation>
    <dataValidation type="list" showInputMessage="1" showErrorMessage="1" sqref="T36">
      <formula1>队伍总览!N4:N19</formula1>
    </dataValidation>
    <dataValidation type="list" showInputMessage="1" showErrorMessage="1" sqref="U36">
      <formula1>队伍总览!N4:N19</formula1>
    </dataValidation>
    <dataValidation type="list" showInputMessage="1" showErrorMessage="1" sqref="V36">
      <formula1>队伍总览!N4:N19</formula1>
    </dataValidation>
    <dataValidation type="list" showInputMessage="1" showErrorMessage="1" sqref="W36">
      <formula1>队伍总览!N4:N19</formula1>
    </dataValidation>
    <dataValidation type="list" showInputMessage="1" showErrorMessage="1" sqref="X36">
      <formula1>队伍总览!N4:N19</formula1>
    </dataValidation>
    <dataValidation type="list" showInputMessage="1" showErrorMessage="1" sqref="Y36">
      <formula1>队伍总览!N4:N19</formula1>
    </dataValidation>
    <dataValidation type="list" showInputMessage="1" showErrorMessage="1" sqref="Z36">
      <formula1>队伍总览!N4:N19</formula1>
    </dataValidation>
    <dataValidation type="list" showInputMessage="1" showErrorMessage="1" sqref="L37">
      <formula1>队伍总览!B36:B51</formula1>
    </dataValidation>
    <dataValidation type="list" showInputMessage="1" showErrorMessage="1" sqref="M37">
      <formula1>队伍总览!B36:B51</formula1>
    </dataValidation>
    <dataValidation type="list" showInputMessage="1" showErrorMessage="1" sqref="N37">
      <formula1>队伍总览!B36:B51</formula1>
    </dataValidation>
    <dataValidation type="list" showInputMessage="1" showErrorMessage="1" sqref="O37">
      <formula1>队伍总览!B36:B51</formula1>
    </dataValidation>
    <dataValidation type="list" showInputMessage="1" showErrorMessage="1" sqref="P37">
      <formula1>队伍总览!B36:B51</formula1>
    </dataValidation>
    <dataValidation type="list" showInputMessage="1" showErrorMessage="1" sqref="Q37">
      <formula1>队伍总览!B36:B51</formula1>
    </dataValidation>
    <dataValidation type="list" showInputMessage="1" showErrorMessage="1" sqref="R37">
      <formula1>队伍总览!B36:B51</formula1>
    </dataValidation>
    <dataValidation type="list" showInputMessage="1" showErrorMessage="1" sqref="S37">
      <formula1>队伍总览!B36:B51</formula1>
    </dataValidation>
    <dataValidation type="list" showInputMessage="1" showErrorMessage="1" sqref="T37">
      <formula1>队伍总览!B36:B51</formula1>
    </dataValidation>
    <dataValidation type="list" showInputMessage="1" showErrorMessage="1" sqref="U37">
      <formula1>队伍总览!B36:B51</formula1>
    </dataValidation>
    <dataValidation type="list" showInputMessage="1" showErrorMessage="1" sqref="V37">
      <formula1>队伍总览!B36:B51</formula1>
    </dataValidation>
    <dataValidation type="list" showInputMessage="1" showErrorMessage="1" sqref="W37">
      <formula1>队伍总览!B36:B51</formula1>
    </dataValidation>
    <dataValidation type="list" showInputMessage="1" showErrorMessage="1" sqref="X37">
      <formula1>队伍总览!B36:B51</formula1>
    </dataValidation>
    <dataValidation type="list" showInputMessage="1" showErrorMessage="1" sqref="Y37">
      <formula1>队伍总览!B36:B51</formula1>
    </dataValidation>
    <dataValidation type="list" showInputMessage="1" showErrorMessage="1" sqref="Z37">
      <formula1>队伍总览!B36:B51</formula1>
    </dataValidation>
    <dataValidation type="list" showInputMessage="1" showErrorMessage="1" sqref="L38">
      <formula1>队伍总览!F36:F51</formula1>
    </dataValidation>
    <dataValidation type="list" showInputMessage="1" showErrorMessage="1" sqref="M38">
      <formula1>队伍总览!F36:F51</formula1>
    </dataValidation>
    <dataValidation type="list" showInputMessage="1" showErrorMessage="1" sqref="N38">
      <formula1>队伍总览!F36:F51</formula1>
    </dataValidation>
    <dataValidation type="list" showInputMessage="1" showErrorMessage="1" sqref="O38">
      <formula1>队伍总览!F36:F51</formula1>
    </dataValidation>
    <dataValidation type="list" showInputMessage="1" showErrorMessage="1" sqref="P38">
      <formula1>队伍总览!F36:F51</formula1>
    </dataValidation>
    <dataValidation type="list" showInputMessage="1" showErrorMessage="1" sqref="Q38">
      <formula1>队伍总览!F36:F51</formula1>
    </dataValidation>
    <dataValidation type="list" showInputMessage="1" showErrorMessage="1" sqref="R38">
      <formula1>队伍总览!F36:F51</formula1>
    </dataValidation>
    <dataValidation type="list" showInputMessage="1" showErrorMessage="1" sqref="S38">
      <formula1>队伍总览!F36:F51</formula1>
    </dataValidation>
    <dataValidation type="list" showInputMessage="1" showErrorMessage="1" sqref="T38">
      <formula1>队伍总览!F36:F51</formula1>
    </dataValidation>
    <dataValidation type="list" showInputMessage="1" showErrorMessage="1" sqref="U38">
      <formula1>队伍总览!F36:F51</formula1>
    </dataValidation>
    <dataValidation type="list" showInputMessage="1" showErrorMessage="1" sqref="V38">
      <formula1>队伍总览!F36:F51</formula1>
    </dataValidation>
    <dataValidation type="list" showInputMessage="1" showErrorMessage="1" sqref="W38">
      <formula1>队伍总览!F36:F51</formula1>
    </dataValidation>
    <dataValidation type="list" showInputMessage="1" showErrorMessage="1" sqref="X38">
      <formula1>队伍总览!F36:F51</formula1>
    </dataValidation>
    <dataValidation type="list" showInputMessage="1" showErrorMessage="1" sqref="Y38">
      <formula1>队伍总览!F36:F51</formula1>
    </dataValidation>
    <dataValidation type="list" showInputMessage="1" showErrorMessage="1" sqref="Z38">
      <formula1>队伍总览!F36:F51</formula1>
    </dataValidation>
    <dataValidation type="list" showInputMessage="1" showErrorMessage="1" sqref="L39">
      <formula1>队伍总览!J36:J51</formula1>
    </dataValidation>
    <dataValidation type="list" showInputMessage="1" showErrorMessage="1" sqref="M39">
      <formula1>队伍总览!J36:J51</formula1>
    </dataValidation>
    <dataValidation type="list" showInputMessage="1" showErrorMessage="1" sqref="N39">
      <formula1>队伍总览!J36:J51</formula1>
    </dataValidation>
    <dataValidation type="list" showInputMessage="1" showErrorMessage="1" sqref="O39">
      <formula1>队伍总览!J36:J51</formula1>
    </dataValidation>
    <dataValidation type="list" showInputMessage="1" showErrorMessage="1" sqref="P39">
      <formula1>队伍总览!J36:J51</formula1>
    </dataValidation>
    <dataValidation type="list" showInputMessage="1" showErrorMessage="1" sqref="Q39">
      <formula1>队伍总览!J36:J51</formula1>
    </dataValidation>
    <dataValidation type="list" showInputMessage="1" showErrorMessage="1" sqref="R39">
      <formula1>队伍总览!J36:J51</formula1>
    </dataValidation>
    <dataValidation type="list" showInputMessage="1" showErrorMessage="1" sqref="S39">
      <formula1>队伍总览!J36:J51</formula1>
    </dataValidation>
    <dataValidation type="list" showInputMessage="1" showErrorMessage="1" sqref="T39">
      <formula1>队伍总览!J36:J51</formula1>
    </dataValidation>
    <dataValidation type="list" showInputMessage="1" showErrorMessage="1" sqref="U39">
      <formula1>队伍总览!J36:J51</formula1>
    </dataValidation>
    <dataValidation type="list" showInputMessage="1" showErrorMessage="1" sqref="V39">
      <formula1>队伍总览!J36:J51</formula1>
    </dataValidation>
    <dataValidation type="list" showInputMessage="1" showErrorMessage="1" sqref="W39">
      <formula1>队伍总览!J36:J51</formula1>
    </dataValidation>
    <dataValidation type="list" showInputMessage="1" showErrorMessage="1" sqref="X39">
      <formula1>队伍总览!J36:J51</formula1>
    </dataValidation>
    <dataValidation type="list" showInputMessage="1" showErrorMessage="1" sqref="Y39">
      <formula1>队伍总览!J36:J51</formula1>
    </dataValidation>
    <dataValidation type="list" showInputMessage="1" showErrorMessage="1" sqref="Z39">
      <formula1>队伍总览!J36:J51</formula1>
    </dataValidation>
    <dataValidation type="list" showInputMessage="1" showErrorMessage="1" sqref="L40">
      <formula1>队伍总览!N36:N51</formula1>
    </dataValidation>
    <dataValidation type="list" showInputMessage="1" showErrorMessage="1" sqref="M40">
      <formula1>队伍总览!N36:N51</formula1>
    </dataValidation>
    <dataValidation type="list" showInputMessage="1" showErrorMessage="1" sqref="N40">
      <formula1>队伍总览!N36:N51</formula1>
    </dataValidation>
    <dataValidation type="list" showInputMessage="1" showErrorMessage="1" sqref="O40">
      <formula1>队伍总览!N36:N51</formula1>
    </dataValidation>
    <dataValidation type="list" showInputMessage="1" showErrorMessage="1" sqref="P40">
      <formula1>队伍总览!N36:N51</formula1>
    </dataValidation>
    <dataValidation type="list" showInputMessage="1" showErrorMessage="1" sqref="Q40">
      <formula1>队伍总览!N36:N51</formula1>
    </dataValidation>
    <dataValidation type="list" showInputMessage="1" showErrorMessage="1" sqref="R40">
      <formula1>队伍总览!N36:N51</formula1>
    </dataValidation>
    <dataValidation type="list" showInputMessage="1" showErrorMessage="1" sqref="S40">
      <formula1>队伍总览!N36:N51</formula1>
    </dataValidation>
    <dataValidation type="list" showInputMessage="1" showErrorMessage="1" sqref="T40">
      <formula1>队伍总览!N36:N51</formula1>
    </dataValidation>
    <dataValidation type="list" showInputMessage="1" showErrorMessage="1" sqref="U40">
      <formula1>队伍总览!N36:N51</formula1>
    </dataValidation>
    <dataValidation type="list" showInputMessage="1" showErrorMessage="1" sqref="V40">
      <formula1>队伍总览!N36:N51</formula1>
    </dataValidation>
    <dataValidation type="list" showInputMessage="1" showErrorMessage="1" sqref="W40">
      <formula1>队伍总览!N36:N51</formula1>
    </dataValidation>
    <dataValidation type="list" showInputMessage="1" showErrorMessage="1" sqref="X40">
      <formula1>队伍总览!N36:N51</formula1>
    </dataValidation>
    <dataValidation type="list" showInputMessage="1" showErrorMessage="1" sqref="Y40">
      <formula1>队伍总览!N36:N51</formula1>
    </dataValidation>
    <dataValidation type="list" showInputMessage="1" showErrorMessage="1" sqref="Z40">
      <formula1>队伍总览!N36:N51</formula1>
    </dataValidation>
    <dataValidation type="list" showErrorMessage="1" errorTitle="错误提示" error="请输入下拉列表中的值" sqref="J25:K40">
      <formula1>"诺德 Nord,罗多克 Rhodok,萨兰德 Sarranid,斯瓦迪亚 Swadia,维基亚 Veagir"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130"/>
  <sheetViews>
    <sheetView topLeftCell="D1" workbookViewId="0">
      <selection activeCell="J126" sqref="J126"/>
    </sheetView>
  </sheetViews>
  <sheetFormatPr defaultColWidth="11.3333333333333" defaultRowHeight="16.5"/>
  <cols>
    <col min="1" max="1" width="19.1111111111111" style="2" hidden="1" customWidth="1"/>
    <col min="2" max="2" width="16.6666666666667" style="3" hidden="1" customWidth="1"/>
    <col min="3" max="3" width="11.6666666666667" style="3" hidden="1" customWidth="1"/>
    <col min="4" max="4" width="10.7777777777778" style="3" customWidth="1"/>
    <col min="5" max="5" width="17.8888888888889" style="3" customWidth="1"/>
    <col min="6" max="6" width="14.6666666666667" style="3" customWidth="1"/>
    <col min="7" max="8" width="11.3333333333333" style="3" hidden="1" customWidth="1"/>
    <col min="9" max="9" width="12.5555555555556" style="3" hidden="1" customWidth="1"/>
    <col min="10" max="10" width="50.6666666666667" style="2" customWidth="1"/>
    <col min="11" max="11" width="29" style="3" hidden="1" customWidth="1"/>
    <col min="12" max="12" width="20.7777777777778" style="3" hidden="1" customWidth="1"/>
    <col min="13" max="13" width="47.5555555555556" style="3" customWidth="1"/>
    <col min="14" max="16384" width="11.3333333333333" style="3" customWidth="1"/>
  </cols>
  <sheetData>
    <row r="1" spans="1:13">
      <c r="A1" s="4" t="s">
        <v>324</v>
      </c>
      <c r="B1" s="5" t="s">
        <v>325</v>
      </c>
      <c r="C1" s="5" t="s">
        <v>326</v>
      </c>
      <c r="D1" s="5" t="s">
        <v>327</v>
      </c>
      <c r="E1" s="5" t="s">
        <v>22</v>
      </c>
      <c r="F1" s="5" t="s">
        <v>23</v>
      </c>
      <c r="G1" s="5" t="s">
        <v>328</v>
      </c>
      <c r="H1" s="5" t="s">
        <v>329</v>
      </c>
      <c r="I1" s="5" t="s">
        <v>330</v>
      </c>
      <c r="J1" s="4" t="s">
        <v>331</v>
      </c>
      <c r="K1" s="5" t="s">
        <v>332</v>
      </c>
      <c r="L1" s="5" t="s">
        <v>333</v>
      </c>
      <c r="M1" s="5" t="s">
        <v>334</v>
      </c>
    </row>
    <row r="2" spans="1:13">
      <c r="A2" s="6">
        <v>45498.9912037037</v>
      </c>
      <c r="B2" s="5" t="s">
        <v>335</v>
      </c>
      <c r="C2" s="5" t="s">
        <v>336</v>
      </c>
      <c r="D2" s="5" t="s">
        <v>337</v>
      </c>
      <c r="E2" s="5" t="s">
        <v>38</v>
      </c>
      <c r="F2" s="5" t="s">
        <v>39</v>
      </c>
      <c r="G2" s="5"/>
      <c r="H2" s="5" t="s">
        <v>338</v>
      </c>
      <c r="I2" s="5"/>
      <c r="J2" s="4" t="s">
        <v>339</v>
      </c>
      <c r="K2" s="4">
        <v>2775553</v>
      </c>
      <c r="L2" s="5" t="s">
        <v>340</v>
      </c>
      <c r="M2" s="5" t="s">
        <v>341</v>
      </c>
    </row>
    <row r="3" spans="1:13">
      <c r="A3" s="6">
        <v>45499.4007638889</v>
      </c>
      <c r="B3" s="5" t="s">
        <v>342</v>
      </c>
      <c r="C3" s="5" t="s">
        <v>343</v>
      </c>
      <c r="D3" s="5" t="s">
        <v>337</v>
      </c>
      <c r="E3" s="5" t="s">
        <v>158</v>
      </c>
      <c r="F3" s="5" t="s">
        <v>158</v>
      </c>
      <c r="G3" s="5"/>
      <c r="H3" s="5"/>
      <c r="I3" s="5" t="s">
        <v>344</v>
      </c>
      <c r="J3" s="4" t="s">
        <v>345</v>
      </c>
      <c r="K3" s="5" t="s">
        <v>346</v>
      </c>
      <c r="L3" s="5" t="s">
        <v>347</v>
      </c>
      <c r="M3" s="5"/>
    </row>
    <row r="4" spans="1:13">
      <c r="A4" s="6">
        <v>45499.0555208333</v>
      </c>
      <c r="B4" s="5" t="s">
        <v>348</v>
      </c>
      <c r="C4" s="5" t="s">
        <v>349</v>
      </c>
      <c r="D4" s="5" t="s">
        <v>337</v>
      </c>
      <c r="E4" s="5" t="s">
        <v>159</v>
      </c>
      <c r="F4" s="5" t="s">
        <v>160</v>
      </c>
      <c r="G4" s="5"/>
      <c r="H4" s="5"/>
      <c r="I4" s="5" t="s">
        <v>344</v>
      </c>
      <c r="J4" s="4" t="s">
        <v>350</v>
      </c>
      <c r="K4" s="5" t="s">
        <v>351</v>
      </c>
      <c r="L4" s="5" t="s">
        <v>352</v>
      </c>
      <c r="M4" s="5" t="s">
        <v>353</v>
      </c>
    </row>
    <row r="5" spans="1:13">
      <c r="A5" s="6">
        <v>45498.9941203704</v>
      </c>
      <c r="B5" s="5" t="s">
        <v>354</v>
      </c>
      <c r="C5" s="5" t="s">
        <v>355</v>
      </c>
      <c r="D5" s="5" t="s">
        <v>337</v>
      </c>
      <c r="E5" s="5" t="s">
        <v>161</v>
      </c>
      <c r="F5" s="5" t="s">
        <v>162</v>
      </c>
      <c r="G5" s="5"/>
      <c r="H5" s="5" t="s">
        <v>338</v>
      </c>
      <c r="I5" s="5"/>
      <c r="J5" s="4" t="s">
        <v>356</v>
      </c>
      <c r="K5" s="5" t="s">
        <v>357</v>
      </c>
      <c r="L5" s="5" t="s">
        <v>358</v>
      </c>
      <c r="M5" s="5"/>
    </row>
    <row r="6" spans="1:13">
      <c r="A6" s="6">
        <v>45499.0066782407</v>
      </c>
      <c r="B6" s="5" t="s">
        <v>359</v>
      </c>
      <c r="C6" s="5" t="s">
        <v>360</v>
      </c>
      <c r="D6" s="5" t="s">
        <v>337</v>
      </c>
      <c r="E6" s="5" t="s">
        <v>40</v>
      </c>
      <c r="F6" s="5" t="s">
        <v>41</v>
      </c>
      <c r="G6" s="5" t="s">
        <v>361</v>
      </c>
      <c r="H6" s="5" t="s">
        <v>338</v>
      </c>
      <c r="I6" s="5"/>
      <c r="J6" s="4" t="s">
        <v>362</v>
      </c>
      <c r="K6" s="5" t="s">
        <v>363</v>
      </c>
      <c r="L6" s="5" t="s">
        <v>41</v>
      </c>
      <c r="M6" s="5" t="s">
        <v>364</v>
      </c>
    </row>
    <row r="7" spans="1:13">
      <c r="A7" s="6">
        <v>45498.9785416667</v>
      </c>
      <c r="B7" s="5" t="s">
        <v>365</v>
      </c>
      <c r="C7" s="5" t="s">
        <v>366</v>
      </c>
      <c r="D7" s="5" t="s">
        <v>337</v>
      </c>
      <c r="E7" s="5" t="s">
        <v>54</v>
      </c>
      <c r="F7" s="5" t="s">
        <v>54</v>
      </c>
      <c r="G7" s="5" t="s">
        <v>361</v>
      </c>
      <c r="H7" s="5" t="s">
        <v>338</v>
      </c>
      <c r="I7" s="5" t="s">
        <v>344</v>
      </c>
      <c r="J7" s="4" t="s">
        <v>367</v>
      </c>
      <c r="K7" s="5" t="s">
        <v>368</v>
      </c>
      <c r="L7" s="5" t="s">
        <v>369</v>
      </c>
      <c r="M7" s="5" t="s">
        <v>370</v>
      </c>
    </row>
    <row r="8" spans="1:13">
      <c r="A8" s="6">
        <v>45498.9793634259</v>
      </c>
      <c r="B8" s="5" t="s">
        <v>371</v>
      </c>
      <c r="C8" s="5" t="s">
        <v>372</v>
      </c>
      <c r="D8" s="5" t="s">
        <v>337</v>
      </c>
      <c r="E8" s="5" t="s">
        <v>55</v>
      </c>
      <c r="F8" s="5" t="s">
        <v>56</v>
      </c>
      <c r="G8" s="5"/>
      <c r="H8" s="5" t="s">
        <v>338</v>
      </c>
      <c r="I8" s="5" t="s">
        <v>344</v>
      </c>
      <c r="J8" s="4" t="s">
        <v>373</v>
      </c>
      <c r="K8" s="5" t="s">
        <v>374</v>
      </c>
      <c r="L8" s="5" t="s">
        <v>375</v>
      </c>
      <c r="M8" s="5" t="s">
        <v>376</v>
      </c>
    </row>
    <row r="9" spans="1:13">
      <c r="A9" s="6">
        <v>45498.9838425926</v>
      </c>
      <c r="B9" s="5" t="s">
        <v>377</v>
      </c>
      <c r="C9" s="5" t="s">
        <v>378</v>
      </c>
      <c r="D9" s="5" t="s">
        <v>379</v>
      </c>
      <c r="E9" s="5" t="s">
        <v>7</v>
      </c>
      <c r="F9" s="5" t="s">
        <v>380</v>
      </c>
      <c r="G9" s="5"/>
      <c r="H9" s="5"/>
      <c r="I9" s="5" t="s">
        <v>344</v>
      </c>
      <c r="J9" s="4" t="s">
        <v>381</v>
      </c>
      <c r="K9" s="8">
        <v>5549069</v>
      </c>
      <c r="L9" s="5" t="s">
        <v>382</v>
      </c>
      <c r="M9" s="5" t="s">
        <v>383</v>
      </c>
    </row>
    <row r="10" spans="1:13">
      <c r="A10" s="6">
        <v>45498.9998032407</v>
      </c>
      <c r="B10" s="5" t="s">
        <v>384</v>
      </c>
      <c r="C10" s="5" t="s">
        <v>385</v>
      </c>
      <c r="D10" s="5" t="s">
        <v>337</v>
      </c>
      <c r="E10" s="5" t="s">
        <v>36</v>
      </c>
      <c r="F10" s="5" t="s">
        <v>37</v>
      </c>
      <c r="G10" s="5" t="s">
        <v>361</v>
      </c>
      <c r="H10" s="5"/>
      <c r="I10" s="5" t="s">
        <v>344</v>
      </c>
      <c r="J10" s="4" t="s">
        <v>386</v>
      </c>
      <c r="K10" s="5" t="s">
        <v>387</v>
      </c>
      <c r="L10" s="5" t="s">
        <v>388</v>
      </c>
      <c r="M10" s="5" t="s">
        <v>389</v>
      </c>
    </row>
    <row r="11" spans="1:13">
      <c r="A11" s="6">
        <v>45499.1783449074</v>
      </c>
      <c r="B11" s="5" t="s">
        <v>390</v>
      </c>
      <c r="C11" s="5" t="s">
        <v>391</v>
      </c>
      <c r="D11" s="5" t="s">
        <v>337</v>
      </c>
      <c r="E11" s="5" t="s">
        <v>57</v>
      </c>
      <c r="F11" s="5" t="s">
        <v>58</v>
      </c>
      <c r="G11" s="5" t="s">
        <v>361</v>
      </c>
      <c r="H11" s="5" t="s">
        <v>338</v>
      </c>
      <c r="I11" s="5" t="s">
        <v>344</v>
      </c>
      <c r="J11" s="4" t="s">
        <v>392</v>
      </c>
      <c r="K11" s="5" t="s">
        <v>393</v>
      </c>
      <c r="L11" s="5" t="s">
        <v>394</v>
      </c>
      <c r="M11" s="5" t="s">
        <v>395</v>
      </c>
    </row>
    <row r="12" spans="1:13">
      <c r="A12" s="6">
        <v>45499.1009027778</v>
      </c>
      <c r="B12" s="5" t="s">
        <v>396</v>
      </c>
      <c r="C12" s="5" t="s">
        <v>397</v>
      </c>
      <c r="D12" s="5" t="s">
        <v>379</v>
      </c>
      <c r="E12" s="5" t="s">
        <v>237</v>
      </c>
      <c r="F12" s="5" t="s">
        <v>237</v>
      </c>
      <c r="G12" s="5" t="s">
        <v>361</v>
      </c>
      <c r="H12" s="5" t="s">
        <v>338</v>
      </c>
      <c r="I12" s="5" t="s">
        <v>344</v>
      </c>
      <c r="J12" s="4" t="s">
        <v>398</v>
      </c>
      <c r="K12" s="5" t="s">
        <v>399</v>
      </c>
      <c r="L12" s="5" t="s">
        <v>400</v>
      </c>
      <c r="M12" s="5"/>
    </row>
    <row r="13" spans="1:13">
      <c r="A13" s="6">
        <v>45499.0297337963</v>
      </c>
      <c r="B13" s="5" t="s">
        <v>401</v>
      </c>
      <c r="C13" s="5" t="s">
        <v>402</v>
      </c>
      <c r="D13" s="5" t="s">
        <v>337</v>
      </c>
      <c r="E13" s="5" t="s">
        <v>82</v>
      </c>
      <c r="F13" s="5" t="s">
        <v>83</v>
      </c>
      <c r="G13" s="5" t="s">
        <v>361</v>
      </c>
      <c r="H13" s="5" t="s">
        <v>338</v>
      </c>
      <c r="I13" s="5" t="s">
        <v>344</v>
      </c>
      <c r="J13" s="4" t="s">
        <v>403</v>
      </c>
      <c r="K13" s="5" t="s">
        <v>404</v>
      </c>
      <c r="L13" s="5" t="s">
        <v>405</v>
      </c>
      <c r="M13" s="5" t="s">
        <v>406</v>
      </c>
    </row>
    <row r="14" spans="1:13">
      <c r="A14" s="6">
        <v>45499.0422800926</v>
      </c>
      <c r="B14" s="5" t="s">
        <v>407</v>
      </c>
      <c r="C14" s="5" t="s">
        <v>408</v>
      </c>
      <c r="D14" s="5" t="s">
        <v>379</v>
      </c>
      <c r="E14" s="5" t="s">
        <v>238</v>
      </c>
      <c r="F14" s="5" t="s">
        <v>409</v>
      </c>
      <c r="G14" s="5" t="s">
        <v>361</v>
      </c>
      <c r="H14" s="5"/>
      <c r="I14" s="5" t="s">
        <v>344</v>
      </c>
      <c r="J14" s="4" t="s">
        <v>410</v>
      </c>
      <c r="K14" s="5" t="s">
        <v>411</v>
      </c>
      <c r="L14" s="5" t="s">
        <v>412</v>
      </c>
      <c r="M14" s="5" t="s">
        <v>413</v>
      </c>
    </row>
    <row r="15" spans="1:13">
      <c r="A15" s="6">
        <v>45499.0847222222</v>
      </c>
      <c r="B15" s="5" t="s">
        <v>414</v>
      </c>
      <c r="C15" s="5" t="s">
        <v>415</v>
      </c>
      <c r="D15" s="5" t="s">
        <v>337</v>
      </c>
      <c r="E15" s="5" t="s">
        <v>84</v>
      </c>
      <c r="F15" s="5" t="s">
        <v>84</v>
      </c>
      <c r="G15" s="5" t="s">
        <v>361</v>
      </c>
      <c r="H15" s="5"/>
      <c r="I15" s="5"/>
      <c r="J15" s="4" t="s">
        <v>416</v>
      </c>
      <c r="K15" s="5" t="s">
        <v>417</v>
      </c>
      <c r="L15" s="5" t="s">
        <v>418</v>
      </c>
      <c r="M15" s="5"/>
    </row>
    <row r="16" spans="1:13">
      <c r="A16" s="6">
        <v>45499.0265393518</v>
      </c>
      <c r="B16" s="5" t="s">
        <v>419</v>
      </c>
      <c r="C16" s="5" t="s">
        <v>420</v>
      </c>
      <c r="D16" s="5" t="s">
        <v>337</v>
      </c>
      <c r="E16" s="5" t="s">
        <v>85</v>
      </c>
      <c r="F16" s="5" t="s">
        <v>86</v>
      </c>
      <c r="G16" s="5" t="s">
        <v>361</v>
      </c>
      <c r="H16" s="5" t="s">
        <v>338</v>
      </c>
      <c r="I16" s="5" t="s">
        <v>344</v>
      </c>
      <c r="J16" s="4" t="s">
        <v>421</v>
      </c>
      <c r="K16" s="5" t="s">
        <v>422</v>
      </c>
      <c r="L16" s="5" t="s">
        <v>423</v>
      </c>
      <c r="M16" s="5" t="s">
        <v>424</v>
      </c>
    </row>
    <row r="17" spans="1:13">
      <c r="A17" s="6">
        <v>45499.0932060185</v>
      </c>
      <c r="B17" s="5" t="s">
        <v>425</v>
      </c>
      <c r="C17" s="5" t="s">
        <v>426</v>
      </c>
      <c r="D17" s="5" t="s">
        <v>337</v>
      </c>
      <c r="E17" s="5" t="s">
        <v>101</v>
      </c>
      <c r="F17" s="5" t="s">
        <v>101</v>
      </c>
      <c r="G17" s="5"/>
      <c r="H17" s="5"/>
      <c r="I17" s="5" t="s">
        <v>344</v>
      </c>
      <c r="J17" s="4" t="s">
        <v>427</v>
      </c>
      <c r="K17" s="5" t="s">
        <v>428</v>
      </c>
      <c r="L17" s="5" t="s">
        <v>427</v>
      </c>
      <c r="M17" s="5"/>
    </row>
    <row r="18" spans="1:13">
      <c r="A18" s="6">
        <v>45498.9987962963</v>
      </c>
      <c r="B18" s="5" t="s">
        <v>429</v>
      </c>
      <c r="C18" s="5" t="s">
        <v>430</v>
      </c>
      <c r="D18" s="5" t="s">
        <v>337</v>
      </c>
      <c r="E18" s="5" t="s">
        <v>102</v>
      </c>
      <c r="F18" s="5" t="s">
        <v>103</v>
      </c>
      <c r="G18" s="5" t="s">
        <v>361</v>
      </c>
      <c r="H18" s="5"/>
      <c r="I18" s="5" t="s">
        <v>344</v>
      </c>
      <c r="J18" s="4" t="s">
        <v>431</v>
      </c>
      <c r="K18" s="5" t="s">
        <v>432</v>
      </c>
      <c r="L18" s="5" t="s">
        <v>102</v>
      </c>
      <c r="M18" s="5" t="s">
        <v>433</v>
      </c>
    </row>
    <row r="19" spans="1:13">
      <c r="A19" s="6">
        <v>45499.4713773148</v>
      </c>
      <c r="B19" s="5" t="s">
        <v>434</v>
      </c>
      <c r="C19" s="5" t="s">
        <v>435</v>
      </c>
      <c r="D19" s="5" t="s">
        <v>337</v>
      </c>
      <c r="E19" s="5" t="s">
        <v>31</v>
      </c>
      <c r="F19" s="5" t="s">
        <v>31</v>
      </c>
      <c r="G19" s="5"/>
      <c r="H19" s="5" t="s">
        <v>338</v>
      </c>
      <c r="I19" s="5" t="s">
        <v>344</v>
      </c>
      <c r="J19" s="4" t="s">
        <v>436</v>
      </c>
      <c r="K19" s="5" t="s">
        <v>437</v>
      </c>
      <c r="L19" s="5" t="s">
        <v>438</v>
      </c>
      <c r="M19" s="5" t="s">
        <v>439</v>
      </c>
    </row>
    <row r="20" spans="1:13">
      <c r="A20" s="6">
        <v>45499.4796296296</v>
      </c>
      <c r="B20" s="5" t="s">
        <v>440</v>
      </c>
      <c r="C20" s="5" t="s">
        <v>441</v>
      </c>
      <c r="D20" s="5" t="s">
        <v>337</v>
      </c>
      <c r="E20" s="5" t="s">
        <v>104</v>
      </c>
      <c r="F20" s="5" t="s">
        <v>104</v>
      </c>
      <c r="G20" s="5" t="s">
        <v>361</v>
      </c>
      <c r="H20" s="5" t="s">
        <v>338</v>
      </c>
      <c r="I20" s="5"/>
      <c r="J20" s="4" t="s">
        <v>442</v>
      </c>
      <c r="K20" s="5" t="s">
        <v>443</v>
      </c>
      <c r="L20" s="5" t="s">
        <v>444</v>
      </c>
      <c r="M20" s="5"/>
    </row>
    <row r="21" spans="1:13">
      <c r="A21" s="6">
        <v>45499.4814351852</v>
      </c>
      <c r="B21" s="5" t="s">
        <v>445</v>
      </c>
      <c r="C21" s="5" t="s">
        <v>446</v>
      </c>
      <c r="D21" s="5" t="s">
        <v>337</v>
      </c>
      <c r="E21" s="5" t="s">
        <v>42</v>
      </c>
      <c r="F21" s="5" t="s">
        <v>42</v>
      </c>
      <c r="G21" s="5" t="s">
        <v>361</v>
      </c>
      <c r="H21" s="5" t="s">
        <v>338</v>
      </c>
      <c r="I21" s="5" t="s">
        <v>344</v>
      </c>
      <c r="J21" s="4">
        <v>3224307963</v>
      </c>
      <c r="K21" s="4">
        <v>5916568</v>
      </c>
      <c r="L21" s="5" t="s">
        <v>447</v>
      </c>
      <c r="M21" s="5"/>
    </row>
    <row r="22" spans="1:13">
      <c r="A22" s="6">
        <v>45499.4941666667</v>
      </c>
      <c r="B22" s="5" t="s">
        <v>448</v>
      </c>
      <c r="C22" s="5" t="s">
        <v>449</v>
      </c>
      <c r="D22" s="5" t="s">
        <v>337</v>
      </c>
      <c r="E22" s="5" t="s">
        <v>43</v>
      </c>
      <c r="F22" s="5" t="s">
        <v>44</v>
      </c>
      <c r="G22" s="5" t="s">
        <v>361</v>
      </c>
      <c r="H22" s="5"/>
      <c r="I22" s="5" t="s">
        <v>344</v>
      </c>
      <c r="J22" s="4" t="s">
        <v>450</v>
      </c>
      <c r="K22" s="5" t="s">
        <v>451</v>
      </c>
      <c r="L22" s="5" t="s">
        <v>452</v>
      </c>
      <c r="M22" s="5" t="s">
        <v>453</v>
      </c>
    </row>
    <row r="23" spans="1:13">
      <c r="A23" s="6">
        <v>45499.494537037</v>
      </c>
      <c r="B23" s="5" t="s">
        <v>454</v>
      </c>
      <c r="C23" s="5" t="s">
        <v>455</v>
      </c>
      <c r="D23" s="5" t="s">
        <v>337</v>
      </c>
      <c r="E23" s="5" t="s">
        <v>52</v>
      </c>
      <c r="F23" s="5" t="s">
        <v>53</v>
      </c>
      <c r="G23" s="5" t="s">
        <v>361</v>
      </c>
      <c r="H23" s="5" t="s">
        <v>338</v>
      </c>
      <c r="I23" s="5" t="s">
        <v>344</v>
      </c>
      <c r="J23" s="4" t="s">
        <v>456</v>
      </c>
      <c r="K23" s="5" t="s">
        <v>457</v>
      </c>
      <c r="L23" s="5" t="s">
        <v>458</v>
      </c>
      <c r="M23" s="5" t="s">
        <v>459</v>
      </c>
    </row>
    <row r="24" spans="1:13">
      <c r="A24" s="6">
        <v>45499.4964814815</v>
      </c>
      <c r="B24" s="5" t="s">
        <v>460</v>
      </c>
      <c r="C24" s="5" t="s">
        <v>461</v>
      </c>
      <c r="D24" s="5" t="s">
        <v>337</v>
      </c>
      <c r="E24" s="5" t="s">
        <v>118</v>
      </c>
      <c r="F24" s="5" t="s">
        <v>119</v>
      </c>
      <c r="G24" s="5"/>
      <c r="H24" s="5"/>
      <c r="I24" s="5" t="s">
        <v>344</v>
      </c>
      <c r="J24" s="4" t="s">
        <v>462</v>
      </c>
      <c r="K24" s="4">
        <v>347507</v>
      </c>
      <c r="L24" s="5" t="s">
        <v>463</v>
      </c>
      <c r="M24" s="5" t="s">
        <v>464</v>
      </c>
    </row>
    <row r="25" spans="1:13">
      <c r="A25" s="6">
        <v>45499.4977777778</v>
      </c>
      <c r="B25" s="5" t="s">
        <v>465</v>
      </c>
      <c r="C25" s="5" t="s">
        <v>466</v>
      </c>
      <c r="D25" s="5" t="s">
        <v>337</v>
      </c>
      <c r="E25" s="5" t="s">
        <v>45</v>
      </c>
      <c r="F25" s="5" t="s">
        <v>45</v>
      </c>
      <c r="G25" s="5"/>
      <c r="H25" s="5"/>
      <c r="I25" s="5" t="s">
        <v>344</v>
      </c>
      <c r="J25" s="4" t="s">
        <v>467</v>
      </c>
      <c r="K25" s="5" t="s">
        <v>468</v>
      </c>
      <c r="L25" s="5" t="s">
        <v>469</v>
      </c>
      <c r="M25" s="5"/>
    </row>
    <row r="26" spans="1:13">
      <c r="A26" s="6">
        <v>45499.4991319444</v>
      </c>
      <c r="B26" s="5" t="s">
        <v>470</v>
      </c>
      <c r="C26" s="5" t="s">
        <v>471</v>
      </c>
      <c r="D26" s="5" t="s">
        <v>379</v>
      </c>
      <c r="E26" s="5" t="s">
        <v>9</v>
      </c>
      <c r="F26" s="5" t="s">
        <v>472</v>
      </c>
      <c r="G26" s="5" t="s">
        <v>361</v>
      </c>
      <c r="H26" s="5"/>
      <c r="I26" s="5"/>
      <c r="J26" s="4" t="s">
        <v>473</v>
      </c>
      <c r="K26" s="5" t="s">
        <v>474</v>
      </c>
      <c r="L26" s="5" t="s">
        <v>9</v>
      </c>
      <c r="M26" s="5" t="s">
        <v>475</v>
      </c>
    </row>
    <row r="27" spans="1:13">
      <c r="A27" s="6">
        <v>45499.5021990741</v>
      </c>
      <c r="B27" s="5" t="s">
        <v>476</v>
      </c>
      <c r="C27" s="5" t="s">
        <v>477</v>
      </c>
      <c r="D27" s="5" t="s">
        <v>337</v>
      </c>
      <c r="E27" s="5" t="s">
        <v>120</v>
      </c>
      <c r="F27" s="5" t="s">
        <v>121</v>
      </c>
      <c r="G27" s="5" t="s">
        <v>361</v>
      </c>
      <c r="H27" s="5" t="s">
        <v>338</v>
      </c>
      <c r="I27" s="5" t="s">
        <v>344</v>
      </c>
      <c r="J27" s="4" t="s">
        <v>478</v>
      </c>
      <c r="K27" s="5" t="s">
        <v>479</v>
      </c>
      <c r="L27" s="5" t="s">
        <v>480</v>
      </c>
      <c r="M27" s="5" t="s">
        <v>481</v>
      </c>
    </row>
    <row r="28" spans="1:13">
      <c r="A28" s="6">
        <v>45499.5052199074</v>
      </c>
      <c r="B28" s="5" t="s">
        <v>482</v>
      </c>
      <c r="C28" s="5" t="s">
        <v>483</v>
      </c>
      <c r="D28" s="5" t="s">
        <v>337</v>
      </c>
      <c r="E28" s="5" t="s">
        <v>122</v>
      </c>
      <c r="F28" s="5" t="s">
        <v>123</v>
      </c>
      <c r="G28" s="5" t="s">
        <v>361</v>
      </c>
      <c r="H28" s="5" t="s">
        <v>338</v>
      </c>
      <c r="I28" s="5" t="s">
        <v>344</v>
      </c>
      <c r="J28" s="4" t="s">
        <v>484</v>
      </c>
      <c r="K28" s="5" t="s">
        <v>485</v>
      </c>
      <c r="L28" s="5" t="s">
        <v>486</v>
      </c>
      <c r="M28" s="5" t="s">
        <v>487</v>
      </c>
    </row>
    <row r="29" spans="1:13">
      <c r="A29" s="6">
        <v>45499.5395138889</v>
      </c>
      <c r="B29" s="5" t="s">
        <v>488</v>
      </c>
      <c r="C29" s="5" t="s">
        <v>489</v>
      </c>
      <c r="D29" s="5" t="s">
        <v>337</v>
      </c>
      <c r="E29" s="5" t="s">
        <v>46</v>
      </c>
      <c r="F29" s="5" t="s">
        <v>47</v>
      </c>
      <c r="G29" s="5" t="s">
        <v>361</v>
      </c>
      <c r="H29" s="5" t="s">
        <v>338</v>
      </c>
      <c r="I29" s="5"/>
      <c r="J29" s="4" t="s">
        <v>490</v>
      </c>
      <c r="K29" s="5" t="s">
        <v>491</v>
      </c>
      <c r="L29" s="5" t="s">
        <v>492</v>
      </c>
      <c r="M29" s="5" t="s">
        <v>493</v>
      </c>
    </row>
    <row r="30" ht="21" customHeight="1" spans="1:13">
      <c r="A30" s="6">
        <v>45499.5448032407</v>
      </c>
      <c r="B30" s="5" t="s">
        <v>494</v>
      </c>
      <c r="C30" s="5" t="s">
        <v>495</v>
      </c>
      <c r="D30" s="5" t="s">
        <v>337</v>
      </c>
      <c r="E30" s="5" t="s">
        <v>32</v>
      </c>
      <c r="F30" s="5" t="s">
        <v>33</v>
      </c>
      <c r="G30" s="5" t="s">
        <v>361</v>
      </c>
      <c r="H30" s="5" t="s">
        <v>338</v>
      </c>
      <c r="I30" s="5"/>
      <c r="J30" s="4" t="s">
        <v>496</v>
      </c>
      <c r="K30" s="5" t="s">
        <v>497</v>
      </c>
      <c r="L30" s="5" t="s">
        <v>498</v>
      </c>
      <c r="M30" s="5"/>
    </row>
    <row r="31" spans="1:13">
      <c r="A31" s="6">
        <v>45499.5483912037</v>
      </c>
      <c r="B31" s="5" t="s">
        <v>499</v>
      </c>
      <c r="C31" s="5" t="s">
        <v>500</v>
      </c>
      <c r="D31" s="5" t="s">
        <v>337</v>
      </c>
      <c r="E31" s="5" t="s">
        <v>34</v>
      </c>
      <c r="F31" s="5" t="s">
        <v>35</v>
      </c>
      <c r="G31" s="5" t="s">
        <v>361</v>
      </c>
      <c r="H31" s="5" t="s">
        <v>338</v>
      </c>
      <c r="I31" s="5" t="s">
        <v>344</v>
      </c>
      <c r="J31" s="4" t="s">
        <v>501</v>
      </c>
      <c r="K31" s="5" t="s">
        <v>502</v>
      </c>
      <c r="L31" s="5" t="s">
        <v>503</v>
      </c>
      <c r="M31" s="5" t="s">
        <v>504</v>
      </c>
    </row>
    <row r="32" spans="1:13">
      <c r="A32" s="6">
        <v>45499.5966666667</v>
      </c>
      <c r="B32" s="5" t="s">
        <v>505</v>
      </c>
      <c r="C32" s="5" t="s">
        <v>506</v>
      </c>
      <c r="D32" s="5" t="s">
        <v>337</v>
      </c>
      <c r="E32" s="5" t="s">
        <v>48</v>
      </c>
      <c r="F32" s="5" t="s">
        <v>49</v>
      </c>
      <c r="G32" s="5" t="s">
        <v>361</v>
      </c>
      <c r="H32" s="5" t="s">
        <v>338</v>
      </c>
      <c r="I32" s="5" t="s">
        <v>344</v>
      </c>
      <c r="J32" s="4" t="s">
        <v>507</v>
      </c>
      <c r="K32" s="5" t="s">
        <v>508</v>
      </c>
      <c r="L32" s="5" t="s">
        <v>509</v>
      </c>
      <c r="M32" s="5" t="s">
        <v>510</v>
      </c>
    </row>
    <row r="33" spans="1:13">
      <c r="A33" s="6"/>
      <c r="B33" s="5"/>
      <c r="C33" s="5"/>
      <c r="D33" s="5" t="s">
        <v>337</v>
      </c>
      <c r="E33" s="5" t="s">
        <v>511</v>
      </c>
      <c r="F33" s="5" t="s">
        <v>79</v>
      </c>
      <c r="G33" s="5" t="s">
        <v>361</v>
      </c>
      <c r="H33" s="5" t="s">
        <v>338</v>
      </c>
      <c r="I33" s="5" t="s">
        <v>344</v>
      </c>
      <c r="J33" s="4">
        <v>1582328692</v>
      </c>
      <c r="K33" s="4">
        <v>1398091</v>
      </c>
      <c r="L33" s="5"/>
      <c r="M33" s="5" t="s">
        <v>512</v>
      </c>
    </row>
    <row r="34" spans="1:13">
      <c r="A34" s="6">
        <v>45499.6223842593</v>
      </c>
      <c r="B34" s="5" t="s">
        <v>513</v>
      </c>
      <c r="C34" s="5" t="s">
        <v>514</v>
      </c>
      <c r="D34" s="5" t="s">
        <v>337</v>
      </c>
      <c r="E34" s="5" t="s">
        <v>127</v>
      </c>
      <c r="F34" s="5" t="s">
        <v>128</v>
      </c>
      <c r="G34" s="5" t="s">
        <v>361</v>
      </c>
      <c r="H34" s="5" t="s">
        <v>338</v>
      </c>
      <c r="I34" s="5" t="s">
        <v>344</v>
      </c>
      <c r="J34" s="4" t="s">
        <v>515</v>
      </c>
      <c r="K34" s="5" t="s">
        <v>516</v>
      </c>
      <c r="L34" s="5" t="s">
        <v>517</v>
      </c>
      <c r="M34" s="5" t="s">
        <v>518</v>
      </c>
    </row>
    <row r="35" spans="1:13">
      <c r="A35" s="6">
        <v>45499.638275463</v>
      </c>
      <c r="B35" s="5" t="s">
        <v>519</v>
      </c>
      <c r="C35" s="5" t="s">
        <v>520</v>
      </c>
      <c r="D35" s="5" t="s">
        <v>337</v>
      </c>
      <c r="E35" s="5" t="s">
        <v>50</v>
      </c>
      <c r="F35" s="5" t="s">
        <v>51</v>
      </c>
      <c r="G35" s="5"/>
      <c r="H35" s="5" t="s">
        <v>338</v>
      </c>
      <c r="I35" s="5"/>
      <c r="J35" s="4" t="s">
        <v>521</v>
      </c>
      <c r="K35" s="5" t="s">
        <v>522</v>
      </c>
      <c r="L35" s="5" t="s">
        <v>523</v>
      </c>
      <c r="M35" s="5" t="s">
        <v>524</v>
      </c>
    </row>
    <row r="36" spans="1:13">
      <c r="A36" s="6">
        <v>45499.7241666667</v>
      </c>
      <c r="B36" s="5" t="s">
        <v>525</v>
      </c>
      <c r="C36" s="5" t="s">
        <v>446</v>
      </c>
      <c r="D36" s="5" t="s">
        <v>337</v>
      </c>
      <c r="E36" s="5" t="s">
        <v>70</v>
      </c>
      <c r="F36" s="5" t="s">
        <v>70</v>
      </c>
      <c r="G36" s="5" t="s">
        <v>361</v>
      </c>
      <c r="H36" s="5" t="s">
        <v>338</v>
      </c>
      <c r="I36" s="5" t="s">
        <v>344</v>
      </c>
      <c r="J36" s="4" t="s">
        <v>526</v>
      </c>
      <c r="K36" s="5" t="s">
        <v>527</v>
      </c>
      <c r="L36" s="5" t="s">
        <v>528</v>
      </c>
      <c r="M36" s="5" t="s">
        <v>529</v>
      </c>
    </row>
    <row r="37" spans="1:13">
      <c r="A37" s="6">
        <v>45499.7706134259</v>
      </c>
      <c r="B37" s="5" t="s">
        <v>530</v>
      </c>
      <c r="C37" s="5" t="s">
        <v>531</v>
      </c>
      <c r="D37" s="5" t="s">
        <v>337</v>
      </c>
      <c r="E37" s="5" t="s">
        <v>129</v>
      </c>
      <c r="F37" s="5" t="s">
        <v>130</v>
      </c>
      <c r="G37" s="5"/>
      <c r="H37" s="5" t="s">
        <v>338</v>
      </c>
      <c r="I37" s="5"/>
      <c r="J37" s="4" t="s">
        <v>532</v>
      </c>
      <c r="K37" s="5" t="s">
        <v>533</v>
      </c>
      <c r="L37" s="5" t="s">
        <v>534</v>
      </c>
      <c r="M37" s="5"/>
    </row>
    <row r="38" spans="1:13">
      <c r="A38" s="6">
        <v>45499.77625</v>
      </c>
      <c r="B38" s="5" t="s">
        <v>535</v>
      </c>
      <c r="C38" s="5" t="s">
        <v>536</v>
      </c>
      <c r="D38" s="5" t="s">
        <v>337</v>
      </c>
      <c r="E38" s="5" t="s">
        <v>71</v>
      </c>
      <c r="F38" s="5" t="s">
        <v>71</v>
      </c>
      <c r="G38" s="5" t="s">
        <v>361</v>
      </c>
      <c r="H38" s="5" t="s">
        <v>338</v>
      </c>
      <c r="I38" s="5"/>
      <c r="J38" s="4" t="s">
        <v>537</v>
      </c>
      <c r="K38" s="5" t="s">
        <v>538</v>
      </c>
      <c r="L38" s="5" t="s">
        <v>539</v>
      </c>
      <c r="M38" s="5" t="s">
        <v>540</v>
      </c>
    </row>
    <row r="39" ht="33" spans="1:13">
      <c r="A39" s="6">
        <v>45499.7808680556</v>
      </c>
      <c r="B39" s="5" t="s">
        <v>541</v>
      </c>
      <c r="C39" s="5" t="s">
        <v>391</v>
      </c>
      <c r="D39" s="5" t="s">
        <v>337</v>
      </c>
      <c r="E39" s="7" t="s">
        <v>542</v>
      </c>
      <c r="F39" s="5" t="s">
        <v>73</v>
      </c>
      <c r="G39" s="5" t="s">
        <v>361</v>
      </c>
      <c r="H39" s="5"/>
      <c r="I39" s="5"/>
      <c r="J39" s="4" t="s">
        <v>543</v>
      </c>
      <c r="K39" s="5" t="s">
        <v>544</v>
      </c>
      <c r="L39" s="5" t="s">
        <v>73</v>
      </c>
      <c r="M39" s="5" t="s">
        <v>545</v>
      </c>
    </row>
    <row r="40" ht="22.5" customHeight="1" spans="1:13">
      <c r="A40" s="6">
        <v>45499.7837962963</v>
      </c>
      <c r="B40" s="5" t="s">
        <v>546</v>
      </c>
      <c r="C40" s="5" t="s">
        <v>547</v>
      </c>
      <c r="D40" s="5" t="s">
        <v>337</v>
      </c>
      <c r="E40" s="5" t="s">
        <v>74</v>
      </c>
      <c r="F40" s="5" t="s">
        <v>74</v>
      </c>
      <c r="G40" s="5" t="s">
        <v>361</v>
      </c>
      <c r="H40" s="5"/>
      <c r="I40" s="5" t="s">
        <v>344</v>
      </c>
      <c r="J40" s="4" t="s">
        <v>548</v>
      </c>
      <c r="K40" s="5" t="s">
        <v>549</v>
      </c>
      <c r="L40" s="5" t="s">
        <v>550</v>
      </c>
      <c r="M40" s="5" t="s">
        <v>551</v>
      </c>
    </row>
    <row r="41" spans="1:13">
      <c r="A41" s="6">
        <v>45499.7941203704</v>
      </c>
      <c r="B41" s="5" t="s">
        <v>552</v>
      </c>
      <c r="C41" s="5" t="s">
        <v>553</v>
      </c>
      <c r="D41" s="5" t="s">
        <v>379</v>
      </c>
      <c r="E41" s="5" t="s">
        <v>239</v>
      </c>
      <c r="F41" s="5" t="s">
        <v>554</v>
      </c>
      <c r="G41" s="5"/>
      <c r="H41" s="5" t="s">
        <v>338</v>
      </c>
      <c r="I41" s="5" t="s">
        <v>344</v>
      </c>
      <c r="J41" s="4" t="s">
        <v>555</v>
      </c>
      <c r="K41" s="5" t="s">
        <v>556</v>
      </c>
      <c r="L41" s="5" t="s">
        <v>557</v>
      </c>
      <c r="M41" s="5" t="s">
        <v>558</v>
      </c>
    </row>
    <row r="42" spans="1:13">
      <c r="A42" s="6">
        <v>45499.7971180556</v>
      </c>
      <c r="B42" s="5" t="s">
        <v>559</v>
      </c>
      <c r="C42" s="5" t="s">
        <v>560</v>
      </c>
      <c r="D42" s="5" t="s">
        <v>337</v>
      </c>
      <c r="E42" s="5" t="s">
        <v>131</v>
      </c>
      <c r="F42" s="5" t="s">
        <v>132</v>
      </c>
      <c r="G42" s="5"/>
      <c r="H42" s="5" t="s">
        <v>338</v>
      </c>
      <c r="I42" s="5"/>
      <c r="J42" s="4" t="s">
        <v>561</v>
      </c>
      <c r="K42" s="5" t="s">
        <v>562</v>
      </c>
      <c r="L42" s="5" t="s">
        <v>563</v>
      </c>
      <c r="M42" s="5" t="s">
        <v>564</v>
      </c>
    </row>
    <row r="43" spans="1:13">
      <c r="A43" s="6">
        <v>45499.8009837963</v>
      </c>
      <c r="B43" s="5" t="s">
        <v>565</v>
      </c>
      <c r="C43" s="5" t="s">
        <v>566</v>
      </c>
      <c r="D43" s="5" t="s">
        <v>337</v>
      </c>
      <c r="E43" s="5" t="s">
        <v>75</v>
      </c>
      <c r="F43" s="5" t="s">
        <v>75</v>
      </c>
      <c r="G43" s="5" t="s">
        <v>361</v>
      </c>
      <c r="H43" s="5" t="s">
        <v>338</v>
      </c>
      <c r="I43" s="5" t="s">
        <v>344</v>
      </c>
      <c r="J43" s="4" t="s">
        <v>567</v>
      </c>
      <c r="K43" s="5" t="s">
        <v>568</v>
      </c>
      <c r="L43" s="5" t="s">
        <v>75</v>
      </c>
      <c r="M43" s="5" t="s">
        <v>569</v>
      </c>
    </row>
    <row r="44" spans="1:13">
      <c r="A44" s="6">
        <v>45499.8065509259</v>
      </c>
      <c r="B44" s="5" t="s">
        <v>570</v>
      </c>
      <c r="C44" s="5" t="s">
        <v>571</v>
      </c>
      <c r="D44" s="5" t="s">
        <v>337</v>
      </c>
      <c r="E44" s="5" t="s">
        <v>133</v>
      </c>
      <c r="F44" s="5" t="s">
        <v>134</v>
      </c>
      <c r="G44" s="5" t="s">
        <v>361</v>
      </c>
      <c r="H44" s="5"/>
      <c r="I44" s="5" t="s">
        <v>344</v>
      </c>
      <c r="J44" s="4" t="s">
        <v>572</v>
      </c>
      <c r="K44" s="5" t="s">
        <v>573</v>
      </c>
      <c r="L44" s="5" t="s">
        <v>574</v>
      </c>
      <c r="M44" s="5" t="s">
        <v>575</v>
      </c>
    </row>
    <row r="45" spans="1:13">
      <c r="A45" s="6">
        <v>45499.8240162037</v>
      </c>
      <c r="B45" s="5" t="s">
        <v>576</v>
      </c>
      <c r="C45" s="5" t="s">
        <v>471</v>
      </c>
      <c r="D45" s="5" t="s">
        <v>337</v>
      </c>
      <c r="E45" s="5" t="s">
        <v>87</v>
      </c>
      <c r="F45" s="5" t="s">
        <v>87</v>
      </c>
      <c r="G45" s="5"/>
      <c r="H45" s="5"/>
      <c r="I45" s="5" t="s">
        <v>344</v>
      </c>
      <c r="J45" s="4" t="s">
        <v>577</v>
      </c>
      <c r="K45" s="5" t="s">
        <v>578</v>
      </c>
      <c r="L45" s="5" t="s">
        <v>87</v>
      </c>
      <c r="M45" s="5"/>
    </row>
    <row r="46" spans="1:13">
      <c r="A46" s="6">
        <v>45499.8372222222</v>
      </c>
      <c r="B46" s="5" t="s">
        <v>579</v>
      </c>
      <c r="C46" s="5" t="s">
        <v>580</v>
      </c>
      <c r="D46" s="5" t="s">
        <v>337</v>
      </c>
      <c r="E46" s="5" t="s">
        <v>88</v>
      </c>
      <c r="F46" s="5" t="s">
        <v>88</v>
      </c>
      <c r="G46" s="5" t="s">
        <v>361</v>
      </c>
      <c r="H46" s="5"/>
      <c r="I46" s="5"/>
      <c r="J46" s="4" t="s">
        <v>581</v>
      </c>
      <c r="K46" s="5" t="s">
        <v>582</v>
      </c>
      <c r="L46" s="5" t="s">
        <v>583</v>
      </c>
      <c r="M46" s="5"/>
    </row>
    <row r="47" ht="33" spans="1:13">
      <c r="A47" s="6">
        <v>45499.8643518519</v>
      </c>
      <c r="B47" s="5" t="s">
        <v>584</v>
      </c>
      <c r="C47" s="5" t="s">
        <v>585</v>
      </c>
      <c r="D47" s="5" t="s">
        <v>337</v>
      </c>
      <c r="E47" s="5" t="s">
        <v>76</v>
      </c>
      <c r="F47" s="5" t="s">
        <v>77</v>
      </c>
      <c r="G47" s="5" t="s">
        <v>361</v>
      </c>
      <c r="H47" s="5"/>
      <c r="I47" s="5" t="s">
        <v>344</v>
      </c>
      <c r="J47" s="4" t="s">
        <v>586</v>
      </c>
      <c r="K47" s="7" t="s">
        <v>587</v>
      </c>
      <c r="L47" s="5" t="s">
        <v>588</v>
      </c>
      <c r="M47" s="5" t="s">
        <v>589</v>
      </c>
    </row>
    <row r="48" ht="33" customHeight="1" spans="1:13">
      <c r="A48" s="6">
        <v>45499.8644560185</v>
      </c>
      <c r="B48" s="5" t="s">
        <v>590</v>
      </c>
      <c r="C48" s="5" t="s">
        <v>591</v>
      </c>
      <c r="D48" s="5" t="s">
        <v>337</v>
      </c>
      <c r="E48" s="5" t="s">
        <v>97</v>
      </c>
      <c r="F48" s="5" t="s">
        <v>97</v>
      </c>
      <c r="G48" s="5" t="s">
        <v>361</v>
      </c>
      <c r="H48" s="5" t="s">
        <v>338</v>
      </c>
      <c r="I48" s="5" t="s">
        <v>344</v>
      </c>
      <c r="J48" s="4" t="s">
        <v>592</v>
      </c>
      <c r="K48" s="5" t="s">
        <v>593</v>
      </c>
      <c r="L48" s="5" t="s">
        <v>594</v>
      </c>
      <c r="M48" s="5" t="s">
        <v>595</v>
      </c>
    </row>
    <row r="49" spans="1:13">
      <c r="A49" s="6">
        <v>45499.8730555556</v>
      </c>
      <c r="B49" s="5" t="s">
        <v>596</v>
      </c>
      <c r="C49" s="5" t="s">
        <v>597</v>
      </c>
      <c r="D49" s="5" t="s">
        <v>337</v>
      </c>
      <c r="E49" s="5" t="s">
        <v>89</v>
      </c>
      <c r="F49" s="5" t="s">
        <v>90</v>
      </c>
      <c r="G49" s="5" t="s">
        <v>361</v>
      </c>
      <c r="H49" s="5"/>
      <c r="I49" s="5"/>
      <c r="J49" s="4" t="s">
        <v>598</v>
      </c>
      <c r="K49" s="5" t="s">
        <v>599</v>
      </c>
      <c r="L49" s="5" t="s">
        <v>89</v>
      </c>
      <c r="M49" s="5"/>
    </row>
    <row r="50" spans="1:13">
      <c r="A50" s="6">
        <v>45499.9171875</v>
      </c>
      <c r="B50" s="5" t="s">
        <v>600</v>
      </c>
      <c r="C50" s="5" t="s">
        <v>601</v>
      </c>
      <c r="D50" s="5" t="s">
        <v>337</v>
      </c>
      <c r="E50" s="5" t="s">
        <v>98</v>
      </c>
      <c r="F50" s="5" t="s">
        <v>98</v>
      </c>
      <c r="G50" s="5"/>
      <c r="H50" s="5" t="s">
        <v>338</v>
      </c>
      <c r="I50" s="5" t="s">
        <v>344</v>
      </c>
      <c r="J50" s="4" t="s">
        <v>602</v>
      </c>
      <c r="K50" s="5" t="s">
        <v>603</v>
      </c>
      <c r="L50" s="5" t="s">
        <v>604</v>
      </c>
      <c r="M50" s="5" t="s">
        <v>604</v>
      </c>
    </row>
    <row r="51" spans="1:13">
      <c r="A51" s="6">
        <v>45499.9245138889</v>
      </c>
      <c r="B51" s="5" t="s">
        <v>605</v>
      </c>
      <c r="C51" s="5" t="s">
        <v>606</v>
      </c>
      <c r="D51" s="5" t="s">
        <v>337</v>
      </c>
      <c r="E51" s="5" t="s">
        <v>135</v>
      </c>
      <c r="F51" s="5" t="s">
        <v>135</v>
      </c>
      <c r="G51" s="5"/>
      <c r="H51" s="5"/>
      <c r="I51" s="5" t="s">
        <v>344</v>
      </c>
      <c r="J51" s="4" t="s">
        <v>607</v>
      </c>
      <c r="K51" s="5" t="s">
        <v>608</v>
      </c>
      <c r="L51" s="5" t="s">
        <v>609</v>
      </c>
      <c r="M51" s="5" t="s">
        <v>610</v>
      </c>
    </row>
    <row r="52" spans="1:13">
      <c r="A52" s="6">
        <v>45499.9794907407</v>
      </c>
      <c r="B52" s="5" t="s">
        <v>611</v>
      </c>
      <c r="C52" s="5" t="s">
        <v>612</v>
      </c>
      <c r="D52" s="5" t="s">
        <v>337</v>
      </c>
      <c r="E52" s="5" t="s">
        <v>95</v>
      </c>
      <c r="F52" s="5" t="s">
        <v>96</v>
      </c>
      <c r="G52" s="5"/>
      <c r="H52" s="5" t="s">
        <v>338</v>
      </c>
      <c r="I52" s="5" t="s">
        <v>344</v>
      </c>
      <c r="J52" s="4" t="s">
        <v>613</v>
      </c>
      <c r="K52" s="5" t="s">
        <v>614</v>
      </c>
      <c r="L52" s="5" t="s">
        <v>615</v>
      </c>
      <c r="M52" s="5" t="s">
        <v>616</v>
      </c>
    </row>
    <row r="53" spans="1:13">
      <c r="A53" s="6">
        <v>45499.9995601852</v>
      </c>
      <c r="B53" s="5" t="s">
        <v>617</v>
      </c>
      <c r="C53" s="5" t="s">
        <v>618</v>
      </c>
      <c r="D53" s="5" t="s">
        <v>337</v>
      </c>
      <c r="E53" s="5" t="s">
        <v>115</v>
      </c>
      <c r="F53" s="5" t="s">
        <v>115</v>
      </c>
      <c r="G53" s="5"/>
      <c r="H53" s="5" t="s">
        <v>338</v>
      </c>
      <c r="I53" s="5" t="s">
        <v>344</v>
      </c>
      <c r="J53" s="4" t="s">
        <v>619</v>
      </c>
      <c r="K53" s="5" t="s">
        <v>620</v>
      </c>
      <c r="L53" s="5" t="s">
        <v>621</v>
      </c>
      <c r="M53" s="5"/>
    </row>
    <row r="54" spans="1:13">
      <c r="A54" s="6">
        <v>45500.021875</v>
      </c>
      <c r="B54" s="5" t="s">
        <v>622</v>
      </c>
      <c r="C54" s="5" t="s">
        <v>623</v>
      </c>
      <c r="D54" s="5" t="s">
        <v>337</v>
      </c>
      <c r="E54" s="5" t="s">
        <v>105</v>
      </c>
      <c r="F54" s="5" t="s">
        <v>106</v>
      </c>
      <c r="G54" s="5"/>
      <c r="H54" s="5"/>
      <c r="I54" s="5" t="s">
        <v>344</v>
      </c>
      <c r="J54" s="4" t="s">
        <v>624</v>
      </c>
      <c r="K54" s="5" t="s">
        <v>625</v>
      </c>
      <c r="L54" s="5" t="s">
        <v>626</v>
      </c>
      <c r="M54" s="5" t="s">
        <v>627</v>
      </c>
    </row>
    <row r="55" spans="1:13">
      <c r="A55" s="6">
        <v>45500.0306365741</v>
      </c>
      <c r="B55" s="5" t="s">
        <v>628</v>
      </c>
      <c r="C55" s="5" t="s">
        <v>629</v>
      </c>
      <c r="D55" s="5" t="s">
        <v>337</v>
      </c>
      <c r="E55" s="5" t="s">
        <v>136</v>
      </c>
      <c r="F55" s="5" t="s">
        <v>136</v>
      </c>
      <c r="G55" s="5" t="s">
        <v>361</v>
      </c>
      <c r="H55" s="5" t="s">
        <v>338</v>
      </c>
      <c r="I55" s="5" t="s">
        <v>344</v>
      </c>
      <c r="J55" s="4" t="s">
        <v>630</v>
      </c>
      <c r="K55" s="5" t="s">
        <v>631</v>
      </c>
      <c r="L55" s="5" t="s">
        <v>632</v>
      </c>
      <c r="M55" s="5" t="s">
        <v>633</v>
      </c>
    </row>
    <row r="56" spans="1:13">
      <c r="A56" s="6">
        <v>45500.441087963</v>
      </c>
      <c r="B56" s="5" t="s">
        <v>634</v>
      </c>
      <c r="C56" s="5" t="s">
        <v>635</v>
      </c>
      <c r="D56" s="5" t="s">
        <v>337</v>
      </c>
      <c r="E56" s="5" t="s">
        <v>137</v>
      </c>
      <c r="F56" s="5" t="s">
        <v>137</v>
      </c>
      <c r="G56" s="5"/>
      <c r="H56" s="5"/>
      <c r="I56" s="5" t="s">
        <v>344</v>
      </c>
      <c r="J56" s="4" t="s">
        <v>636</v>
      </c>
      <c r="K56" s="5" t="s">
        <v>637</v>
      </c>
      <c r="L56" s="5" t="s">
        <v>137</v>
      </c>
      <c r="M56" s="5" t="s">
        <v>638</v>
      </c>
    </row>
    <row r="57" spans="1:13">
      <c r="A57" s="6">
        <v>45500.4579513889</v>
      </c>
      <c r="B57" s="5" t="s">
        <v>639</v>
      </c>
      <c r="C57" s="5" t="s">
        <v>640</v>
      </c>
      <c r="D57" s="5" t="s">
        <v>337</v>
      </c>
      <c r="E57" s="5" t="s">
        <v>107</v>
      </c>
      <c r="F57" s="5" t="s">
        <v>107</v>
      </c>
      <c r="G57" s="5" t="s">
        <v>361</v>
      </c>
      <c r="H57" s="5"/>
      <c r="I57" s="5"/>
      <c r="J57" s="4" t="s">
        <v>641</v>
      </c>
      <c r="K57" s="5" t="s">
        <v>642</v>
      </c>
      <c r="L57" s="5" t="s">
        <v>643</v>
      </c>
      <c r="M57" s="5" t="s">
        <v>644</v>
      </c>
    </row>
    <row r="58" spans="1:13">
      <c r="A58" s="6">
        <v>45500.5807638889</v>
      </c>
      <c r="B58" s="5" t="s">
        <v>645</v>
      </c>
      <c r="C58" s="5" t="s">
        <v>646</v>
      </c>
      <c r="D58" s="5" t="s">
        <v>379</v>
      </c>
      <c r="E58" s="5" t="s">
        <v>11</v>
      </c>
      <c r="F58" s="5" t="s">
        <v>647</v>
      </c>
      <c r="G58" s="5" t="s">
        <v>361</v>
      </c>
      <c r="H58" s="5" t="s">
        <v>338</v>
      </c>
      <c r="I58" s="5" t="s">
        <v>344</v>
      </c>
      <c r="J58" s="4" t="s">
        <v>648</v>
      </c>
      <c r="K58" s="5" t="s">
        <v>649</v>
      </c>
      <c r="L58" s="5" t="s">
        <v>650</v>
      </c>
      <c r="M58" s="5" t="s">
        <v>651</v>
      </c>
    </row>
    <row r="59" spans="1:13">
      <c r="A59" s="6">
        <v>45500.6337152778</v>
      </c>
      <c r="B59" s="5" t="s">
        <v>652</v>
      </c>
      <c r="C59" s="5" t="s">
        <v>653</v>
      </c>
      <c r="D59" s="5" t="s">
        <v>337</v>
      </c>
      <c r="E59" s="5" t="s">
        <v>139</v>
      </c>
      <c r="F59" s="5" t="s">
        <v>140</v>
      </c>
      <c r="G59" s="5" t="s">
        <v>361</v>
      </c>
      <c r="H59" s="5" t="s">
        <v>338</v>
      </c>
      <c r="I59" s="5" t="s">
        <v>344</v>
      </c>
      <c r="J59" s="4" t="s">
        <v>654</v>
      </c>
      <c r="K59" s="5" t="s">
        <v>655</v>
      </c>
      <c r="L59" s="5" t="s">
        <v>656</v>
      </c>
      <c r="M59" s="5"/>
    </row>
    <row r="60" spans="1:13">
      <c r="A60" s="6">
        <v>45500.6390509259</v>
      </c>
      <c r="B60" s="5" t="s">
        <v>657</v>
      </c>
      <c r="C60" s="5" t="s">
        <v>658</v>
      </c>
      <c r="D60" s="5" t="s">
        <v>337</v>
      </c>
      <c r="E60" s="5" t="s">
        <v>141</v>
      </c>
      <c r="F60" s="5" t="s">
        <v>142</v>
      </c>
      <c r="G60" s="5"/>
      <c r="H60" s="5" t="s">
        <v>338</v>
      </c>
      <c r="I60" s="5" t="s">
        <v>344</v>
      </c>
      <c r="J60" s="4" t="s">
        <v>659</v>
      </c>
      <c r="K60" s="5" t="s">
        <v>660</v>
      </c>
      <c r="L60" s="5" t="s">
        <v>661</v>
      </c>
      <c r="M60" s="5"/>
    </row>
    <row r="61" spans="1:13">
      <c r="A61" s="6">
        <v>45500.6427314815</v>
      </c>
      <c r="B61" s="5" t="s">
        <v>662</v>
      </c>
      <c r="C61" s="5" t="s">
        <v>663</v>
      </c>
      <c r="D61" s="5" t="s">
        <v>337</v>
      </c>
      <c r="E61" s="5" t="s">
        <v>143</v>
      </c>
      <c r="F61" s="5" t="s">
        <v>144</v>
      </c>
      <c r="G61" s="5" t="s">
        <v>361</v>
      </c>
      <c r="H61" s="5"/>
      <c r="I61" s="5" t="s">
        <v>344</v>
      </c>
      <c r="J61" s="4" t="s">
        <v>664</v>
      </c>
      <c r="K61" s="5" t="s">
        <v>665</v>
      </c>
      <c r="L61" s="5" t="s">
        <v>666</v>
      </c>
      <c r="M61" s="5" t="s">
        <v>667</v>
      </c>
    </row>
    <row r="62" spans="1:13">
      <c r="A62" s="6">
        <v>45500.6551967593</v>
      </c>
      <c r="B62" s="5" t="s">
        <v>668</v>
      </c>
      <c r="C62" s="5" t="s">
        <v>585</v>
      </c>
      <c r="D62" s="5" t="s">
        <v>337</v>
      </c>
      <c r="E62" s="5" t="s">
        <v>99</v>
      </c>
      <c r="F62" s="5" t="s">
        <v>100</v>
      </c>
      <c r="G62" s="5"/>
      <c r="H62" s="5" t="s">
        <v>338</v>
      </c>
      <c r="I62" s="5" t="s">
        <v>344</v>
      </c>
      <c r="J62" s="4" t="s">
        <v>669</v>
      </c>
      <c r="K62" s="5" t="s">
        <v>670</v>
      </c>
      <c r="L62" s="5" t="s">
        <v>671</v>
      </c>
      <c r="M62" s="5" t="s">
        <v>672</v>
      </c>
    </row>
    <row r="63" spans="1:13">
      <c r="A63" s="6">
        <v>45500.7392476852</v>
      </c>
      <c r="B63" s="5" t="s">
        <v>673</v>
      </c>
      <c r="C63" s="5" t="s">
        <v>674</v>
      </c>
      <c r="D63" s="5" t="s">
        <v>337</v>
      </c>
      <c r="E63" s="5" t="s">
        <v>145</v>
      </c>
      <c r="F63" s="5" t="s">
        <v>146</v>
      </c>
      <c r="G63" s="5"/>
      <c r="H63" s="5" t="s">
        <v>338</v>
      </c>
      <c r="I63" s="5" t="s">
        <v>344</v>
      </c>
      <c r="J63" s="4" t="s">
        <v>675</v>
      </c>
      <c r="K63" s="5" t="s">
        <v>676</v>
      </c>
      <c r="L63" s="5" t="s">
        <v>677</v>
      </c>
      <c r="M63" s="5" t="s">
        <v>678</v>
      </c>
    </row>
    <row r="64" spans="1:13">
      <c r="A64" s="6">
        <v>45500.8911342593</v>
      </c>
      <c r="B64" s="5" t="s">
        <v>679</v>
      </c>
      <c r="C64" s="5" t="s">
        <v>680</v>
      </c>
      <c r="D64" s="5" t="s">
        <v>337</v>
      </c>
      <c r="E64" s="5" t="s">
        <v>116</v>
      </c>
      <c r="F64" s="5" t="s">
        <v>117</v>
      </c>
      <c r="G64" s="5"/>
      <c r="H64" s="5" t="s">
        <v>338</v>
      </c>
      <c r="I64" s="5"/>
      <c r="J64" s="4" t="s">
        <v>681</v>
      </c>
      <c r="K64" s="5" t="s">
        <v>682</v>
      </c>
      <c r="L64" s="5" t="s">
        <v>683</v>
      </c>
      <c r="M64" s="5" t="s">
        <v>684</v>
      </c>
    </row>
    <row r="65" spans="1:13">
      <c r="A65" s="6">
        <v>45501.531412037</v>
      </c>
      <c r="B65" s="5" t="s">
        <v>685</v>
      </c>
      <c r="C65" s="5" t="s">
        <v>686</v>
      </c>
      <c r="D65" s="5" t="s">
        <v>337</v>
      </c>
      <c r="E65" s="5" t="s">
        <v>91</v>
      </c>
      <c r="F65" s="5" t="s">
        <v>92</v>
      </c>
      <c r="G65" s="5" t="s">
        <v>361</v>
      </c>
      <c r="H65" s="5" t="s">
        <v>338</v>
      </c>
      <c r="I65" s="5" t="s">
        <v>344</v>
      </c>
      <c r="J65" s="4" t="s">
        <v>687</v>
      </c>
      <c r="K65" s="5" t="s">
        <v>688</v>
      </c>
      <c r="L65" s="5" t="s">
        <v>689</v>
      </c>
      <c r="M65" s="5" t="s">
        <v>690</v>
      </c>
    </row>
    <row r="66" spans="1:13">
      <c r="A66" s="6">
        <v>45501.6219212963</v>
      </c>
      <c r="B66" s="5" t="s">
        <v>691</v>
      </c>
      <c r="C66" s="5" t="s">
        <v>692</v>
      </c>
      <c r="D66" s="5" t="s">
        <v>337</v>
      </c>
      <c r="E66" s="5" t="s">
        <v>147</v>
      </c>
      <c r="F66" s="5" t="s">
        <v>148</v>
      </c>
      <c r="G66" s="5" t="s">
        <v>361</v>
      </c>
      <c r="H66" s="5"/>
      <c r="I66" s="5" t="s">
        <v>344</v>
      </c>
      <c r="J66" s="4" t="s">
        <v>693</v>
      </c>
      <c r="K66" s="5" t="s">
        <v>694</v>
      </c>
      <c r="L66" s="5" t="s">
        <v>695</v>
      </c>
      <c r="M66" s="5" t="s">
        <v>696</v>
      </c>
    </row>
    <row r="67" spans="1:13">
      <c r="A67" s="6">
        <v>45501.7269675926</v>
      </c>
      <c r="B67" s="5" t="s">
        <v>697</v>
      </c>
      <c r="C67" s="5" t="s">
        <v>698</v>
      </c>
      <c r="D67" s="5" t="s">
        <v>337</v>
      </c>
      <c r="E67" s="5" t="s">
        <v>149</v>
      </c>
      <c r="F67" s="5" t="s">
        <v>149</v>
      </c>
      <c r="G67" s="5"/>
      <c r="H67" s="5"/>
      <c r="I67" s="5" t="s">
        <v>344</v>
      </c>
      <c r="J67" s="4" t="s">
        <v>699</v>
      </c>
      <c r="K67" s="5" t="s">
        <v>700</v>
      </c>
      <c r="L67" s="5" t="s">
        <v>701</v>
      </c>
      <c r="M67" s="5"/>
    </row>
    <row r="68" spans="1:13">
      <c r="A68" s="6">
        <v>45501.8803125</v>
      </c>
      <c r="B68" s="5" t="s">
        <v>702</v>
      </c>
      <c r="C68" s="5" t="s">
        <v>703</v>
      </c>
      <c r="D68" s="5" t="s">
        <v>337</v>
      </c>
      <c r="E68" s="5" t="s">
        <v>27</v>
      </c>
      <c r="F68" s="5" t="s">
        <v>28</v>
      </c>
      <c r="G68" s="5"/>
      <c r="H68" s="5" t="s">
        <v>338</v>
      </c>
      <c r="I68" s="5" t="s">
        <v>344</v>
      </c>
      <c r="J68" s="4" t="s">
        <v>704</v>
      </c>
      <c r="K68" s="5" t="s">
        <v>705</v>
      </c>
      <c r="L68" s="5" t="s">
        <v>493</v>
      </c>
      <c r="M68" s="5"/>
    </row>
    <row r="69" ht="33" spans="1:13">
      <c r="A69" s="6">
        <v>45501.952962963</v>
      </c>
      <c r="B69" s="5" t="s">
        <v>706</v>
      </c>
      <c r="C69" s="5" t="s">
        <v>707</v>
      </c>
      <c r="D69" s="5" t="s">
        <v>379</v>
      </c>
      <c r="E69" s="5" t="s">
        <v>232</v>
      </c>
      <c r="F69" s="7" t="s">
        <v>708</v>
      </c>
      <c r="G69" s="5" t="s">
        <v>361</v>
      </c>
      <c r="H69" s="5" t="s">
        <v>338</v>
      </c>
      <c r="I69" s="5" t="s">
        <v>344</v>
      </c>
      <c r="J69" s="4" t="s">
        <v>709</v>
      </c>
      <c r="K69" s="5" t="s">
        <v>710</v>
      </c>
      <c r="L69" s="5" t="s">
        <v>711</v>
      </c>
      <c r="M69" s="5"/>
    </row>
    <row r="70" spans="1:13">
      <c r="A70" s="6">
        <v>45501.9541087963</v>
      </c>
      <c r="B70" s="5" t="s">
        <v>712</v>
      </c>
      <c r="C70" s="5" t="s">
        <v>713</v>
      </c>
      <c r="D70" s="5" t="s">
        <v>337</v>
      </c>
      <c r="E70" s="5" t="s">
        <v>111</v>
      </c>
      <c r="F70" s="5" t="s">
        <v>112</v>
      </c>
      <c r="G70" s="5"/>
      <c r="H70" s="5"/>
      <c r="I70" s="5" t="s">
        <v>344</v>
      </c>
      <c r="J70" s="4" t="s">
        <v>714</v>
      </c>
      <c r="K70" s="4">
        <v>5537338</v>
      </c>
      <c r="L70" s="5" t="s">
        <v>715</v>
      </c>
      <c r="M70" s="5"/>
    </row>
    <row r="71" ht="18.75" customHeight="1" spans="1:13">
      <c r="A71" s="6">
        <v>45501.992349537</v>
      </c>
      <c r="B71" s="5" t="s">
        <v>716</v>
      </c>
      <c r="C71" s="5" t="s">
        <v>717</v>
      </c>
      <c r="D71" s="5" t="s">
        <v>337</v>
      </c>
      <c r="E71" s="5" t="s">
        <v>29</v>
      </c>
      <c r="F71" s="5" t="s">
        <v>30</v>
      </c>
      <c r="G71" s="5" t="s">
        <v>361</v>
      </c>
      <c r="H71" s="5" t="s">
        <v>338</v>
      </c>
      <c r="I71" s="5" t="s">
        <v>344</v>
      </c>
      <c r="J71" s="4" t="s">
        <v>718</v>
      </c>
      <c r="K71" s="5" t="s">
        <v>719</v>
      </c>
      <c r="L71" s="5" t="s">
        <v>30</v>
      </c>
      <c r="M71" s="5" t="s">
        <v>720</v>
      </c>
    </row>
    <row r="72" spans="1:13">
      <c r="A72" s="6">
        <v>45502.1045138889</v>
      </c>
      <c r="B72" s="5" t="s">
        <v>721</v>
      </c>
      <c r="C72" s="5" t="s">
        <v>722</v>
      </c>
      <c r="D72" s="5" t="s">
        <v>379</v>
      </c>
      <c r="E72" s="5" t="s">
        <v>19</v>
      </c>
      <c r="F72" s="5" t="s">
        <v>19</v>
      </c>
      <c r="G72" s="5" t="s">
        <v>361</v>
      </c>
      <c r="H72" s="5"/>
      <c r="I72" s="5" t="s">
        <v>344</v>
      </c>
      <c r="J72" s="4" t="s">
        <v>723</v>
      </c>
      <c r="K72" s="5" t="s">
        <v>724</v>
      </c>
      <c r="L72" s="5" t="s">
        <v>725</v>
      </c>
      <c r="M72" s="5"/>
    </row>
    <row r="73" spans="1:13">
      <c r="A73" s="6">
        <v>45502.2006828704</v>
      </c>
      <c r="B73" s="5" t="s">
        <v>726</v>
      </c>
      <c r="C73" s="5" t="s">
        <v>727</v>
      </c>
      <c r="D73" s="5" t="s">
        <v>337</v>
      </c>
      <c r="E73" s="5" t="s">
        <v>113</v>
      </c>
      <c r="F73" s="5" t="s">
        <v>114</v>
      </c>
      <c r="G73" s="5"/>
      <c r="H73" s="5" t="s">
        <v>338</v>
      </c>
      <c r="I73" s="5" t="s">
        <v>344</v>
      </c>
      <c r="J73" s="4" t="s">
        <v>728</v>
      </c>
      <c r="K73" s="5" t="s">
        <v>729</v>
      </c>
      <c r="L73" s="5" t="s">
        <v>730</v>
      </c>
      <c r="M73" s="5" t="s">
        <v>731</v>
      </c>
    </row>
    <row r="74" spans="1:13">
      <c r="A74" s="6">
        <v>45502.3926041667</v>
      </c>
      <c r="B74" s="5" t="s">
        <v>732</v>
      </c>
      <c r="C74" s="5" t="s">
        <v>733</v>
      </c>
      <c r="D74" s="5" t="s">
        <v>337</v>
      </c>
      <c r="E74" s="5" t="s">
        <v>152</v>
      </c>
      <c r="F74" s="5" t="s">
        <v>152</v>
      </c>
      <c r="G74" s="5" t="s">
        <v>361</v>
      </c>
      <c r="H74" s="5"/>
      <c r="I74" s="5" t="s">
        <v>344</v>
      </c>
      <c r="J74" s="4" t="s">
        <v>734</v>
      </c>
      <c r="K74" s="5" t="s">
        <v>735</v>
      </c>
      <c r="L74" s="5" t="s">
        <v>736</v>
      </c>
      <c r="M74" s="5" t="s">
        <v>737</v>
      </c>
    </row>
    <row r="75" spans="1:13">
      <c r="A75" s="6">
        <v>45502.4574884259</v>
      </c>
      <c r="B75" s="5" t="s">
        <v>738</v>
      </c>
      <c r="C75" s="5" t="s">
        <v>739</v>
      </c>
      <c r="D75" s="5" t="s">
        <v>337</v>
      </c>
      <c r="E75" s="5" t="s">
        <v>153</v>
      </c>
      <c r="F75" s="5" t="s">
        <v>154</v>
      </c>
      <c r="G75" s="5"/>
      <c r="H75" s="5"/>
      <c r="I75" s="5" t="s">
        <v>344</v>
      </c>
      <c r="J75" s="4" t="s">
        <v>740</v>
      </c>
      <c r="K75" s="5" t="s">
        <v>741</v>
      </c>
      <c r="L75" s="5" t="s">
        <v>742</v>
      </c>
      <c r="M75" s="5"/>
    </row>
    <row r="76" spans="1:13">
      <c r="A76" s="6">
        <v>45502.5736458333</v>
      </c>
      <c r="B76" s="5" t="s">
        <v>743</v>
      </c>
      <c r="C76" s="5" t="s">
        <v>646</v>
      </c>
      <c r="D76" s="5" t="s">
        <v>337</v>
      </c>
      <c r="E76" s="5" t="s">
        <v>150</v>
      </c>
      <c r="F76" s="5" t="s">
        <v>151</v>
      </c>
      <c r="G76" s="5"/>
      <c r="H76" s="5"/>
      <c r="I76" s="5" t="s">
        <v>344</v>
      </c>
      <c r="J76" s="4" t="s">
        <v>744</v>
      </c>
      <c r="K76" s="5" t="s">
        <v>745</v>
      </c>
      <c r="L76" s="5" t="s">
        <v>746</v>
      </c>
      <c r="M76" s="5" t="s">
        <v>747</v>
      </c>
    </row>
    <row r="77" spans="1:13">
      <c r="A77" s="6">
        <v>45502.6470949074</v>
      </c>
      <c r="B77" s="5" t="s">
        <v>748</v>
      </c>
      <c r="C77" s="5" t="s">
        <v>749</v>
      </c>
      <c r="D77" s="5" t="s">
        <v>337</v>
      </c>
      <c r="E77" s="5" t="s">
        <v>124</v>
      </c>
      <c r="F77" s="5" t="s">
        <v>750</v>
      </c>
      <c r="G77" s="5" t="s">
        <v>361</v>
      </c>
      <c r="H77" s="5" t="s">
        <v>338</v>
      </c>
      <c r="I77" s="5" t="s">
        <v>344</v>
      </c>
      <c r="J77" s="4" t="s">
        <v>751</v>
      </c>
      <c r="K77" s="5" t="s">
        <v>752</v>
      </c>
      <c r="L77" s="5" t="s">
        <v>124</v>
      </c>
      <c r="M77" s="5" t="s">
        <v>589</v>
      </c>
    </row>
    <row r="78" spans="1:13">
      <c r="A78" s="6">
        <v>45502.6787615741</v>
      </c>
      <c r="B78" s="5" t="s">
        <v>753</v>
      </c>
      <c r="C78" s="5" t="s">
        <v>629</v>
      </c>
      <c r="D78" s="5" t="s">
        <v>337</v>
      </c>
      <c r="E78" s="5" t="s">
        <v>126</v>
      </c>
      <c r="F78" s="5" t="s">
        <v>126</v>
      </c>
      <c r="G78" s="5" t="s">
        <v>361</v>
      </c>
      <c r="H78" s="5"/>
      <c r="I78" s="5" t="s">
        <v>344</v>
      </c>
      <c r="J78" s="4" t="s">
        <v>754</v>
      </c>
      <c r="K78" s="5" t="s">
        <v>755</v>
      </c>
      <c r="L78" s="5" t="s">
        <v>754</v>
      </c>
      <c r="M78" s="5"/>
    </row>
    <row r="79" spans="1:13">
      <c r="A79" s="6">
        <v>45502.6990856481</v>
      </c>
      <c r="B79" s="5" t="s">
        <v>756</v>
      </c>
      <c r="C79" s="5" t="s">
        <v>757</v>
      </c>
      <c r="D79" s="5" t="s">
        <v>337</v>
      </c>
      <c r="E79" s="5" t="s">
        <v>80</v>
      </c>
      <c r="F79" s="5" t="s">
        <v>81</v>
      </c>
      <c r="G79" s="5"/>
      <c r="H79" s="5" t="s">
        <v>338</v>
      </c>
      <c r="I79" s="5"/>
      <c r="J79" s="4" t="s">
        <v>758</v>
      </c>
      <c r="K79" s="5" t="s">
        <v>759</v>
      </c>
      <c r="L79" s="5" t="s">
        <v>760</v>
      </c>
      <c r="M79" s="5"/>
    </row>
    <row r="80" spans="1:13">
      <c r="A80" s="6">
        <v>45502.706724537</v>
      </c>
      <c r="B80" s="5" t="s">
        <v>761</v>
      </c>
      <c r="C80" s="5" t="s">
        <v>585</v>
      </c>
      <c r="D80" s="5" t="s">
        <v>337</v>
      </c>
      <c r="E80" s="5" t="s">
        <v>155</v>
      </c>
      <c r="F80" s="5" t="s">
        <v>156</v>
      </c>
      <c r="G80" s="5"/>
      <c r="H80" s="5" t="s">
        <v>338</v>
      </c>
      <c r="I80" s="5" t="s">
        <v>344</v>
      </c>
      <c r="J80" s="4" t="s">
        <v>762</v>
      </c>
      <c r="K80" s="5" t="s">
        <v>763</v>
      </c>
      <c r="L80" s="5" t="s">
        <v>764</v>
      </c>
      <c r="M80" s="5" t="s">
        <v>765</v>
      </c>
    </row>
    <row r="81" spans="1:13">
      <c r="A81" s="6">
        <v>45502.7448148148</v>
      </c>
      <c r="B81" s="5" t="s">
        <v>766</v>
      </c>
      <c r="C81" s="5" t="s">
        <v>767</v>
      </c>
      <c r="D81" s="5" t="s">
        <v>337</v>
      </c>
      <c r="E81" s="5" t="s">
        <v>61</v>
      </c>
      <c r="F81" s="5" t="s">
        <v>62</v>
      </c>
      <c r="G81" s="5"/>
      <c r="H81" s="5"/>
      <c r="I81" s="5" t="s">
        <v>344</v>
      </c>
      <c r="J81" s="4" t="s">
        <v>768</v>
      </c>
      <c r="K81" s="5" t="s">
        <v>769</v>
      </c>
      <c r="L81" s="5" t="s">
        <v>770</v>
      </c>
      <c r="M81" s="5"/>
    </row>
    <row r="82" spans="1:13">
      <c r="A82" s="6">
        <v>45502.7688078704</v>
      </c>
      <c r="B82" s="5" t="s">
        <v>771</v>
      </c>
      <c r="C82" s="5" t="s">
        <v>646</v>
      </c>
      <c r="D82" s="5" t="s">
        <v>337</v>
      </c>
      <c r="E82" s="5" t="s">
        <v>63</v>
      </c>
      <c r="F82" s="5" t="s">
        <v>64</v>
      </c>
      <c r="G82" s="5" t="s">
        <v>361</v>
      </c>
      <c r="H82" s="5" t="s">
        <v>338</v>
      </c>
      <c r="I82" s="5" t="s">
        <v>344</v>
      </c>
      <c r="J82" s="4" t="s">
        <v>772</v>
      </c>
      <c r="K82" s="5" t="s">
        <v>773</v>
      </c>
      <c r="L82" s="5" t="s">
        <v>774</v>
      </c>
      <c r="M82" s="5" t="s">
        <v>775</v>
      </c>
    </row>
    <row r="83" spans="1:13">
      <c r="A83" s="6">
        <v>45502.8060763889</v>
      </c>
      <c r="B83" s="5" t="s">
        <v>776</v>
      </c>
      <c r="C83" s="5" t="s">
        <v>777</v>
      </c>
      <c r="D83" s="5" t="s">
        <v>337</v>
      </c>
      <c r="E83" s="5" t="s">
        <v>157</v>
      </c>
      <c r="F83" s="5" t="s">
        <v>157</v>
      </c>
      <c r="G83" s="5"/>
      <c r="H83" s="5"/>
      <c r="I83" s="5" t="s">
        <v>344</v>
      </c>
      <c r="J83" s="4" t="s">
        <v>778</v>
      </c>
      <c r="K83" s="5" t="s">
        <v>779</v>
      </c>
      <c r="L83" s="5" t="s">
        <v>780</v>
      </c>
      <c r="M83" s="5" t="s">
        <v>781</v>
      </c>
    </row>
    <row r="84" spans="1:13">
      <c r="A84" s="6">
        <v>45502.8569675926</v>
      </c>
      <c r="B84" s="5" t="s">
        <v>782</v>
      </c>
      <c r="C84" s="5" t="s">
        <v>606</v>
      </c>
      <c r="D84" s="5" t="s">
        <v>337</v>
      </c>
      <c r="E84" s="5" t="s">
        <v>65</v>
      </c>
      <c r="F84" s="5" t="s">
        <v>66</v>
      </c>
      <c r="G84" s="5" t="s">
        <v>361</v>
      </c>
      <c r="H84" s="5"/>
      <c r="I84" s="5"/>
      <c r="J84" s="4" t="s">
        <v>783</v>
      </c>
      <c r="K84" s="5" t="s">
        <v>784</v>
      </c>
      <c r="L84" s="5" t="s">
        <v>785</v>
      </c>
      <c r="M84" s="5" t="s">
        <v>786</v>
      </c>
    </row>
    <row r="85" spans="1:13">
      <c r="A85" s="6">
        <v>45502.880150463</v>
      </c>
      <c r="B85" s="5" t="s">
        <v>787</v>
      </c>
      <c r="C85" s="5" t="s">
        <v>788</v>
      </c>
      <c r="D85" s="5" t="s">
        <v>337</v>
      </c>
      <c r="E85" s="5" t="s">
        <v>67</v>
      </c>
      <c r="F85" s="5" t="s">
        <v>67</v>
      </c>
      <c r="G85" s="5"/>
      <c r="H85" s="5"/>
      <c r="I85" s="5" t="s">
        <v>344</v>
      </c>
      <c r="J85" s="4" t="s">
        <v>789</v>
      </c>
      <c r="K85" s="5" t="s">
        <v>790</v>
      </c>
      <c r="L85" s="5" t="s">
        <v>791</v>
      </c>
      <c r="M85" s="5" t="s">
        <v>792</v>
      </c>
    </row>
    <row r="86" spans="1:13">
      <c r="A86" s="6">
        <v>45502.9037384259</v>
      </c>
      <c r="B86" s="5" t="s">
        <v>793</v>
      </c>
      <c r="C86" s="5" t="s">
        <v>794</v>
      </c>
      <c r="D86" s="5" t="s">
        <v>337</v>
      </c>
      <c r="E86" s="5" t="s">
        <v>93</v>
      </c>
      <c r="F86" s="5" t="s">
        <v>94</v>
      </c>
      <c r="G86" s="5" t="s">
        <v>361</v>
      </c>
      <c r="H86" s="5"/>
      <c r="I86" s="5"/>
      <c r="J86" s="4" t="s">
        <v>795</v>
      </c>
      <c r="K86" s="5" t="s">
        <v>796</v>
      </c>
      <c r="L86" s="5" t="s">
        <v>797</v>
      </c>
      <c r="M86" s="5" t="s">
        <v>798</v>
      </c>
    </row>
    <row r="87" spans="1:13">
      <c r="A87" s="6">
        <v>45502.9337384259</v>
      </c>
      <c r="B87" s="5" t="s">
        <v>799</v>
      </c>
      <c r="C87" s="5" t="s">
        <v>618</v>
      </c>
      <c r="D87" s="5" t="s">
        <v>337</v>
      </c>
      <c r="E87" s="5" t="s">
        <v>68</v>
      </c>
      <c r="F87" s="5" t="s">
        <v>69</v>
      </c>
      <c r="G87" s="5" t="s">
        <v>361</v>
      </c>
      <c r="H87" s="5"/>
      <c r="I87" s="5" t="s">
        <v>344</v>
      </c>
      <c r="J87" s="4" t="s">
        <v>800</v>
      </c>
      <c r="K87" s="5" t="s">
        <v>801</v>
      </c>
      <c r="L87" s="5" t="s">
        <v>802</v>
      </c>
      <c r="M87" s="5" t="s">
        <v>803</v>
      </c>
    </row>
    <row r="88" spans="1:13">
      <c r="A88" s="6">
        <v>45503.0145023148</v>
      </c>
      <c r="B88" s="5" t="s">
        <v>804</v>
      </c>
      <c r="C88" s="5" t="s">
        <v>805</v>
      </c>
      <c r="D88" s="5" t="s">
        <v>337</v>
      </c>
      <c r="E88" s="5" t="s">
        <v>138</v>
      </c>
      <c r="F88" s="5" t="s">
        <v>138</v>
      </c>
      <c r="G88" s="5" t="s">
        <v>361</v>
      </c>
      <c r="H88" s="5" t="s">
        <v>338</v>
      </c>
      <c r="I88" s="5" t="s">
        <v>344</v>
      </c>
      <c r="J88" s="4" t="s">
        <v>806</v>
      </c>
      <c r="K88" s="5" t="s">
        <v>807</v>
      </c>
      <c r="L88" s="5" t="s">
        <v>808</v>
      </c>
      <c r="M88" s="5" t="s">
        <v>809</v>
      </c>
    </row>
    <row r="89" spans="1:13">
      <c r="A89" s="6">
        <v>45503.4789351852</v>
      </c>
      <c r="B89" s="5" t="s">
        <v>810</v>
      </c>
      <c r="C89" s="5" t="s">
        <v>713</v>
      </c>
      <c r="D89" s="5" t="s">
        <v>337</v>
      </c>
      <c r="E89" s="5" t="s">
        <v>59</v>
      </c>
      <c r="F89" s="5" t="s">
        <v>60</v>
      </c>
      <c r="G89" s="5" t="s">
        <v>361</v>
      </c>
      <c r="H89" s="5" t="s">
        <v>338</v>
      </c>
      <c r="I89" s="5" t="s">
        <v>344</v>
      </c>
      <c r="J89" s="4" t="s">
        <v>811</v>
      </c>
      <c r="K89" s="5" t="s">
        <v>812</v>
      </c>
      <c r="L89" s="5" t="s">
        <v>813</v>
      </c>
      <c r="M89" s="5" t="s">
        <v>814</v>
      </c>
    </row>
    <row r="90" spans="1:13">
      <c r="A90" s="6">
        <v>45503.4911111111</v>
      </c>
      <c r="B90" s="5" t="s">
        <v>815</v>
      </c>
      <c r="C90" s="5" t="s">
        <v>506</v>
      </c>
      <c r="D90" s="5" t="s">
        <v>337</v>
      </c>
      <c r="E90" s="5" t="s">
        <v>108</v>
      </c>
      <c r="F90" s="5" t="s">
        <v>109</v>
      </c>
      <c r="G90" s="5" t="s">
        <v>361</v>
      </c>
      <c r="H90" s="5"/>
      <c r="I90" s="5"/>
      <c r="J90" s="4" t="s">
        <v>816</v>
      </c>
      <c r="K90" s="5" t="s">
        <v>817</v>
      </c>
      <c r="L90" s="5" t="s">
        <v>818</v>
      </c>
      <c r="M90" s="5" t="s">
        <v>493</v>
      </c>
    </row>
    <row r="91" spans="1:13">
      <c r="A91" s="6">
        <v>45503.5401967593</v>
      </c>
      <c r="B91" s="5" t="s">
        <v>819</v>
      </c>
      <c r="C91" s="5" t="s">
        <v>820</v>
      </c>
      <c r="D91" s="5" t="s">
        <v>337</v>
      </c>
      <c r="E91" s="5" t="s">
        <v>110</v>
      </c>
      <c r="F91" s="5" t="s">
        <v>110</v>
      </c>
      <c r="G91" s="5" t="s">
        <v>361</v>
      </c>
      <c r="H91" s="5" t="s">
        <v>338</v>
      </c>
      <c r="I91" s="5" t="s">
        <v>344</v>
      </c>
      <c r="J91" s="4" t="s">
        <v>821</v>
      </c>
      <c r="K91" s="5" t="s">
        <v>822</v>
      </c>
      <c r="L91" s="5" t="s">
        <v>823</v>
      </c>
      <c r="M91" s="5" t="s">
        <v>824</v>
      </c>
    </row>
    <row r="92" spans="1:13">
      <c r="A92" s="9">
        <v>45504.5401967593</v>
      </c>
      <c r="B92" s="10"/>
      <c r="C92" s="10"/>
      <c r="D92" s="10" t="s">
        <v>337</v>
      </c>
      <c r="E92" s="10" t="s">
        <v>163</v>
      </c>
      <c r="F92" s="10" t="s">
        <v>164</v>
      </c>
      <c r="G92" s="10"/>
      <c r="H92" s="10"/>
      <c r="I92" s="10" t="s">
        <v>344</v>
      </c>
      <c r="J92" s="11">
        <v>2086440079</v>
      </c>
      <c r="K92" s="10">
        <v>2106531</v>
      </c>
      <c r="L92" s="10" t="s">
        <v>825</v>
      </c>
      <c r="M92" s="10"/>
    </row>
    <row r="93" spans="1:13">
      <c r="A93" s="9">
        <v>45504.5401967593</v>
      </c>
      <c r="B93" s="10"/>
      <c r="C93" s="10"/>
      <c r="D93" s="10" t="s">
        <v>337</v>
      </c>
      <c r="E93" s="10" t="s">
        <v>165</v>
      </c>
      <c r="F93" s="10" t="s">
        <v>165</v>
      </c>
      <c r="G93" s="10" t="s">
        <v>361</v>
      </c>
      <c r="H93" s="10"/>
      <c r="I93" s="10" t="s">
        <v>344</v>
      </c>
      <c r="J93" s="11">
        <v>3280429099</v>
      </c>
      <c r="K93" s="10">
        <v>4278417</v>
      </c>
      <c r="L93" s="10" t="s">
        <v>165</v>
      </c>
      <c r="M93" s="10" t="s">
        <v>826</v>
      </c>
    </row>
    <row r="94" s="1" customFormat="1" spans="1:13">
      <c r="A94" s="9">
        <v>45504.57625</v>
      </c>
      <c r="B94" s="10" t="s">
        <v>827</v>
      </c>
      <c r="C94" s="10" t="s">
        <v>828</v>
      </c>
      <c r="D94" s="10" t="s">
        <v>337</v>
      </c>
      <c r="E94" s="10" t="s">
        <v>166</v>
      </c>
      <c r="F94" s="10" t="s">
        <v>167</v>
      </c>
      <c r="G94" s="10"/>
      <c r="H94" s="10" t="s">
        <v>338</v>
      </c>
      <c r="I94" s="10" t="s">
        <v>344</v>
      </c>
      <c r="J94" s="11" t="s">
        <v>829</v>
      </c>
      <c r="K94" s="10" t="s">
        <v>830</v>
      </c>
      <c r="L94" s="10" t="s">
        <v>831</v>
      </c>
      <c r="M94" s="10" t="s">
        <v>832</v>
      </c>
    </row>
    <row r="95" s="1" customFormat="1" spans="1:13">
      <c r="A95" s="9">
        <v>45504.6146296296</v>
      </c>
      <c r="B95" s="10" t="s">
        <v>833</v>
      </c>
      <c r="C95" s="10" t="s">
        <v>834</v>
      </c>
      <c r="D95" s="10" t="s">
        <v>337</v>
      </c>
      <c r="E95" s="10" t="s">
        <v>168</v>
      </c>
      <c r="F95" s="10" t="s">
        <v>168</v>
      </c>
      <c r="G95" s="10"/>
      <c r="H95" s="10"/>
      <c r="I95" s="10" t="s">
        <v>344</v>
      </c>
      <c r="J95" s="11" t="s">
        <v>835</v>
      </c>
      <c r="K95" s="10" t="s">
        <v>836</v>
      </c>
      <c r="L95" s="10" t="s">
        <v>837</v>
      </c>
      <c r="M95" s="10" t="s">
        <v>838</v>
      </c>
    </row>
    <row r="96" s="1" customFormat="1" spans="1:13">
      <c r="A96" s="9">
        <v>45504.6625115741</v>
      </c>
      <c r="B96" s="10" t="s">
        <v>839</v>
      </c>
      <c r="C96" s="10" t="s">
        <v>739</v>
      </c>
      <c r="D96" s="10" t="s">
        <v>337</v>
      </c>
      <c r="E96" s="10" t="s">
        <v>169</v>
      </c>
      <c r="F96" s="10" t="s">
        <v>170</v>
      </c>
      <c r="G96" s="10"/>
      <c r="H96" s="10" t="s">
        <v>338</v>
      </c>
      <c r="I96" s="10"/>
      <c r="J96" s="11" t="s">
        <v>840</v>
      </c>
      <c r="K96" s="10" t="s">
        <v>841</v>
      </c>
      <c r="L96" s="10" t="s">
        <v>842</v>
      </c>
      <c r="M96" s="10" t="s">
        <v>843</v>
      </c>
    </row>
    <row r="97" s="1" customFormat="1" spans="1:13">
      <c r="A97" s="9">
        <v>45504.676875</v>
      </c>
      <c r="B97" s="10" t="s">
        <v>844</v>
      </c>
      <c r="C97" s="10" t="s">
        <v>845</v>
      </c>
      <c r="D97" s="10" t="s">
        <v>337</v>
      </c>
      <c r="E97" s="10" t="s">
        <v>171</v>
      </c>
      <c r="F97" s="10" t="s">
        <v>172</v>
      </c>
      <c r="G97" s="10" t="s">
        <v>361</v>
      </c>
      <c r="H97" s="10"/>
      <c r="I97" s="10" t="s">
        <v>344</v>
      </c>
      <c r="J97" s="11" t="s">
        <v>846</v>
      </c>
      <c r="K97" s="10" t="s">
        <v>847</v>
      </c>
      <c r="L97" s="10" t="s">
        <v>848</v>
      </c>
      <c r="M97" s="10" t="s">
        <v>849</v>
      </c>
    </row>
    <row r="98" s="1" customFormat="1" spans="1:13">
      <c r="A98" s="9">
        <v>45505.7505092593</v>
      </c>
      <c r="B98" s="10" t="s">
        <v>850</v>
      </c>
      <c r="C98" s="10" t="s">
        <v>514</v>
      </c>
      <c r="D98" s="10" t="s">
        <v>337</v>
      </c>
      <c r="E98" s="10" t="s">
        <v>173</v>
      </c>
      <c r="F98" s="10" t="s">
        <v>173</v>
      </c>
      <c r="G98" s="10"/>
      <c r="H98" s="10"/>
      <c r="I98" s="10" t="s">
        <v>344</v>
      </c>
      <c r="J98" s="11" t="s">
        <v>851</v>
      </c>
      <c r="K98" s="10" t="s">
        <v>852</v>
      </c>
      <c r="L98" s="10" t="s">
        <v>853</v>
      </c>
      <c r="M98" s="10"/>
    </row>
    <row r="99" s="1" customFormat="1" spans="1:13">
      <c r="A99" s="9">
        <v>45506.6183796296</v>
      </c>
      <c r="B99" s="10" t="s">
        <v>854</v>
      </c>
      <c r="C99" s="10" t="s">
        <v>855</v>
      </c>
      <c r="D99" s="10" t="s">
        <v>337</v>
      </c>
      <c r="E99" s="10" t="s">
        <v>174</v>
      </c>
      <c r="F99" s="10" t="s">
        <v>175</v>
      </c>
      <c r="G99" s="10" t="s">
        <v>361</v>
      </c>
      <c r="H99" s="10"/>
      <c r="I99" s="10" t="s">
        <v>344</v>
      </c>
      <c r="J99" s="11" t="s">
        <v>856</v>
      </c>
      <c r="K99" s="10" t="s">
        <v>857</v>
      </c>
      <c r="L99" s="10" t="s">
        <v>858</v>
      </c>
      <c r="M99" s="10"/>
    </row>
    <row r="100" s="1" customFormat="1" spans="1:13">
      <c r="A100" s="9">
        <v>45506.8797337963</v>
      </c>
      <c r="B100" s="10" t="s">
        <v>859</v>
      </c>
      <c r="C100" s="10" t="s">
        <v>860</v>
      </c>
      <c r="D100" s="10" t="s">
        <v>337</v>
      </c>
      <c r="E100" s="10" t="s">
        <v>176</v>
      </c>
      <c r="F100" s="10" t="s">
        <v>177</v>
      </c>
      <c r="G100" s="10" t="s">
        <v>361</v>
      </c>
      <c r="H100" s="10" t="s">
        <v>338</v>
      </c>
      <c r="I100" s="10" t="s">
        <v>344</v>
      </c>
      <c r="J100" s="11" t="s">
        <v>861</v>
      </c>
      <c r="K100" s="10" t="s">
        <v>862</v>
      </c>
      <c r="L100" s="10" t="s">
        <v>863</v>
      </c>
      <c r="M100" s="10"/>
    </row>
    <row r="101" s="1" customFormat="1" spans="1:13">
      <c r="A101" s="9">
        <v>45506.8828009259</v>
      </c>
      <c r="B101" s="10" t="s">
        <v>864</v>
      </c>
      <c r="C101" s="10" t="s">
        <v>733</v>
      </c>
      <c r="D101" s="10" t="s">
        <v>337</v>
      </c>
      <c r="E101" s="10" t="s">
        <v>178</v>
      </c>
      <c r="F101" s="10" t="s">
        <v>179</v>
      </c>
      <c r="G101" s="10" t="s">
        <v>361</v>
      </c>
      <c r="H101" s="10" t="s">
        <v>338</v>
      </c>
      <c r="I101" s="10"/>
      <c r="J101" s="11" t="s">
        <v>865</v>
      </c>
      <c r="K101" s="10" t="s">
        <v>866</v>
      </c>
      <c r="L101" s="10" t="s">
        <v>867</v>
      </c>
      <c r="M101" s="10" t="s">
        <v>868</v>
      </c>
    </row>
    <row r="102" s="1" customFormat="1" spans="1:13">
      <c r="A102" s="9">
        <v>45506.9181365741</v>
      </c>
      <c r="B102" s="10" t="s">
        <v>869</v>
      </c>
      <c r="C102" s="10" t="s">
        <v>794</v>
      </c>
      <c r="D102" s="10" t="s">
        <v>337</v>
      </c>
      <c r="E102" s="10" t="s">
        <v>180</v>
      </c>
      <c r="F102" s="10" t="s">
        <v>181</v>
      </c>
      <c r="G102" s="10"/>
      <c r="H102" s="10"/>
      <c r="I102" s="10" t="s">
        <v>344</v>
      </c>
      <c r="J102" s="11" t="s">
        <v>870</v>
      </c>
      <c r="K102" s="10" t="s">
        <v>871</v>
      </c>
      <c r="L102" s="10" t="s">
        <v>872</v>
      </c>
      <c r="M102" s="10" t="s">
        <v>873</v>
      </c>
    </row>
    <row r="103" s="1" customFormat="1" spans="1:13">
      <c r="A103" s="9">
        <v>45506.9182986111</v>
      </c>
      <c r="B103" s="10" t="s">
        <v>874</v>
      </c>
      <c r="C103" s="10" t="s">
        <v>875</v>
      </c>
      <c r="D103" s="10" t="s">
        <v>337</v>
      </c>
      <c r="E103" s="10" t="s">
        <v>182</v>
      </c>
      <c r="F103" s="10" t="s">
        <v>183</v>
      </c>
      <c r="G103" s="10"/>
      <c r="H103" s="10"/>
      <c r="I103" s="10" t="s">
        <v>344</v>
      </c>
      <c r="J103" s="11" t="s">
        <v>876</v>
      </c>
      <c r="K103" s="10" t="s">
        <v>877</v>
      </c>
      <c r="L103" s="10" t="s">
        <v>182</v>
      </c>
      <c r="M103" s="10" t="s">
        <v>878</v>
      </c>
    </row>
    <row r="104" s="1" customFormat="1" spans="1:13">
      <c r="A104" s="9">
        <v>45506.9447685185</v>
      </c>
      <c r="B104" s="10" t="s">
        <v>879</v>
      </c>
      <c r="C104" s="10" t="s">
        <v>680</v>
      </c>
      <c r="D104" s="10" t="s">
        <v>337</v>
      </c>
      <c r="E104" s="10" t="s">
        <v>184</v>
      </c>
      <c r="F104" s="10" t="s">
        <v>185</v>
      </c>
      <c r="G104" s="10" t="s">
        <v>361</v>
      </c>
      <c r="H104" s="10"/>
      <c r="I104" s="10" t="s">
        <v>344</v>
      </c>
      <c r="J104" s="11" t="s">
        <v>880</v>
      </c>
      <c r="K104" s="10" t="s">
        <v>881</v>
      </c>
      <c r="L104" s="10" t="s">
        <v>882</v>
      </c>
      <c r="M104" s="10" t="s">
        <v>882</v>
      </c>
    </row>
    <row r="105" s="1" customFormat="1" spans="1:13">
      <c r="A105" s="9">
        <v>45507.0799884259</v>
      </c>
      <c r="B105" s="10" t="s">
        <v>883</v>
      </c>
      <c r="C105" s="10" t="s">
        <v>884</v>
      </c>
      <c r="D105" s="10" t="s">
        <v>337</v>
      </c>
      <c r="E105" s="10" t="s">
        <v>186</v>
      </c>
      <c r="F105" s="10" t="s">
        <v>187</v>
      </c>
      <c r="G105" s="10" t="s">
        <v>361</v>
      </c>
      <c r="H105" s="10"/>
      <c r="I105" s="10"/>
      <c r="J105" s="11" t="s">
        <v>885</v>
      </c>
      <c r="K105" s="10" t="s">
        <v>886</v>
      </c>
      <c r="L105" s="10" t="s">
        <v>887</v>
      </c>
      <c r="M105" s="10" t="s">
        <v>888</v>
      </c>
    </row>
    <row r="106" s="1" customFormat="1" spans="1:13">
      <c r="A106" s="9">
        <v>45507.6198611111</v>
      </c>
      <c r="B106" s="10" t="s">
        <v>889</v>
      </c>
      <c r="C106" s="10" t="s">
        <v>890</v>
      </c>
      <c r="D106" s="10" t="s">
        <v>337</v>
      </c>
      <c r="E106" s="10" t="s">
        <v>188</v>
      </c>
      <c r="F106" s="10" t="s">
        <v>189</v>
      </c>
      <c r="G106" s="10"/>
      <c r="H106" s="10" t="s">
        <v>338</v>
      </c>
      <c r="I106" s="10"/>
      <c r="J106" s="11" t="s">
        <v>891</v>
      </c>
      <c r="K106" s="10" t="s">
        <v>892</v>
      </c>
      <c r="L106" s="10" t="s">
        <v>188</v>
      </c>
      <c r="M106" s="10" t="s">
        <v>493</v>
      </c>
    </row>
    <row r="107" s="1" customFormat="1" spans="1:13">
      <c r="A107" s="9">
        <v>45507.7919444444</v>
      </c>
      <c r="B107" s="10" t="s">
        <v>893</v>
      </c>
      <c r="C107" s="10" t="s">
        <v>894</v>
      </c>
      <c r="D107" s="10" t="s">
        <v>337</v>
      </c>
      <c r="E107" s="10" t="s">
        <v>190</v>
      </c>
      <c r="F107" s="10" t="s">
        <v>190</v>
      </c>
      <c r="G107" s="10"/>
      <c r="H107" s="10" t="s">
        <v>338</v>
      </c>
      <c r="I107" s="10"/>
      <c r="J107" s="11" t="s">
        <v>895</v>
      </c>
      <c r="K107" s="10" t="s">
        <v>896</v>
      </c>
      <c r="L107" s="10" t="s">
        <v>897</v>
      </c>
      <c r="M107" s="10"/>
    </row>
    <row r="108" s="1" customFormat="1" spans="1:13">
      <c r="A108" s="9">
        <v>45508.0427314815</v>
      </c>
      <c r="B108" s="10" t="s">
        <v>898</v>
      </c>
      <c r="C108" s="10" t="s">
        <v>899</v>
      </c>
      <c r="D108" s="10" t="s">
        <v>337</v>
      </c>
      <c r="E108" s="10" t="s">
        <v>191</v>
      </c>
      <c r="F108" s="10" t="s">
        <v>192</v>
      </c>
      <c r="G108" s="10" t="s">
        <v>361</v>
      </c>
      <c r="H108" s="10" t="s">
        <v>338</v>
      </c>
      <c r="I108" s="10" t="s">
        <v>344</v>
      </c>
      <c r="J108" s="11" t="s">
        <v>900</v>
      </c>
      <c r="K108" s="10" t="s">
        <v>901</v>
      </c>
      <c r="L108" s="10" t="s">
        <v>902</v>
      </c>
      <c r="M108" s="10" t="s">
        <v>903</v>
      </c>
    </row>
    <row r="109" s="1" customFormat="1" spans="1:13">
      <c r="A109" s="9">
        <v>45508.0517361111</v>
      </c>
      <c r="B109" s="10" t="s">
        <v>904</v>
      </c>
      <c r="C109" s="10" t="s">
        <v>905</v>
      </c>
      <c r="D109" s="10" t="s">
        <v>337</v>
      </c>
      <c r="E109" s="10" t="s">
        <v>193</v>
      </c>
      <c r="F109" s="10" t="s">
        <v>194</v>
      </c>
      <c r="G109" s="10" t="s">
        <v>361</v>
      </c>
      <c r="H109" s="10"/>
      <c r="I109" s="10" t="s">
        <v>344</v>
      </c>
      <c r="J109" s="11" t="s">
        <v>906</v>
      </c>
      <c r="K109" s="10" t="s">
        <v>907</v>
      </c>
      <c r="L109" s="10" t="s">
        <v>908</v>
      </c>
      <c r="M109" s="10" t="s">
        <v>909</v>
      </c>
    </row>
    <row r="110" s="1" customFormat="1" spans="1:13">
      <c r="A110" s="9">
        <v>45508.4644791667</v>
      </c>
      <c r="B110" s="10" t="s">
        <v>910</v>
      </c>
      <c r="C110" s="10" t="s">
        <v>471</v>
      </c>
      <c r="D110" s="10" t="s">
        <v>337</v>
      </c>
      <c r="E110" s="10" t="s">
        <v>195</v>
      </c>
      <c r="F110" s="10" t="s">
        <v>196</v>
      </c>
      <c r="G110" s="10" t="s">
        <v>361</v>
      </c>
      <c r="H110" s="10"/>
      <c r="I110" s="10" t="s">
        <v>344</v>
      </c>
      <c r="J110" s="11" t="s">
        <v>911</v>
      </c>
      <c r="K110" s="10" t="s">
        <v>912</v>
      </c>
      <c r="L110" s="10" t="s">
        <v>913</v>
      </c>
      <c r="M110" s="10"/>
    </row>
    <row r="111" s="1" customFormat="1" spans="1:13">
      <c r="A111" s="9">
        <v>45508.5127083333</v>
      </c>
      <c r="B111" s="10" t="s">
        <v>914</v>
      </c>
      <c r="C111" s="10" t="s">
        <v>915</v>
      </c>
      <c r="D111" s="10" t="s">
        <v>337</v>
      </c>
      <c r="E111" s="10" t="s">
        <v>197</v>
      </c>
      <c r="F111" s="10" t="s">
        <v>198</v>
      </c>
      <c r="G111" s="10" t="s">
        <v>361</v>
      </c>
      <c r="H111" s="10" t="s">
        <v>338</v>
      </c>
      <c r="I111" s="10" t="s">
        <v>344</v>
      </c>
      <c r="J111" s="11" t="s">
        <v>916</v>
      </c>
      <c r="K111" s="10" t="s">
        <v>917</v>
      </c>
      <c r="L111" s="10" t="s">
        <v>918</v>
      </c>
      <c r="M111" s="10" t="s">
        <v>919</v>
      </c>
    </row>
    <row r="112" s="1" customFormat="1" spans="1:13">
      <c r="A112" s="9">
        <v>45508.5463657407</v>
      </c>
      <c r="B112" s="10" t="s">
        <v>920</v>
      </c>
      <c r="C112" s="10" t="s">
        <v>921</v>
      </c>
      <c r="D112" s="10" t="s">
        <v>337</v>
      </c>
      <c r="E112" s="10" t="s">
        <v>199</v>
      </c>
      <c r="F112" s="10" t="s">
        <v>200</v>
      </c>
      <c r="G112" s="10"/>
      <c r="H112" s="10" t="s">
        <v>338</v>
      </c>
      <c r="I112" s="10"/>
      <c r="J112" s="11" t="s">
        <v>922</v>
      </c>
      <c r="K112" s="10" t="s">
        <v>923</v>
      </c>
      <c r="L112" s="10" t="s">
        <v>924</v>
      </c>
      <c r="M112" s="10" t="s">
        <v>925</v>
      </c>
    </row>
    <row r="113" s="1" customFormat="1" spans="1:13">
      <c r="A113" s="9">
        <v>45508.8208796296</v>
      </c>
      <c r="B113" s="10" t="s">
        <v>926</v>
      </c>
      <c r="C113" s="10" t="s">
        <v>927</v>
      </c>
      <c r="D113" s="10" t="s">
        <v>337</v>
      </c>
      <c r="E113" s="10" t="s">
        <v>201</v>
      </c>
      <c r="F113" s="10" t="s">
        <v>202</v>
      </c>
      <c r="G113" s="10" t="s">
        <v>361</v>
      </c>
      <c r="H113" s="10"/>
      <c r="I113" s="10" t="s">
        <v>344</v>
      </c>
      <c r="J113" s="11" t="s">
        <v>928</v>
      </c>
      <c r="K113" s="10" t="s">
        <v>929</v>
      </c>
      <c r="L113" s="10" t="s">
        <v>928</v>
      </c>
      <c r="M113" s="10" t="s">
        <v>930</v>
      </c>
    </row>
    <row r="114" s="1" customFormat="1" spans="1:13">
      <c r="A114" s="9">
        <v>45508.902349537</v>
      </c>
      <c r="B114" s="10" t="s">
        <v>931</v>
      </c>
      <c r="C114" s="10" t="s">
        <v>932</v>
      </c>
      <c r="D114" s="10" t="s">
        <v>337</v>
      </c>
      <c r="E114" s="10" t="s">
        <v>203</v>
      </c>
      <c r="F114" s="10" t="s">
        <v>204</v>
      </c>
      <c r="G114" s="10"/>
      <c r="H114" s="10" t="s">
        <v>338</v>
      </c>
      <c r="I114" s="10" t="s">
        <v>344</v>
      </c>
      <c r="J114" s="11" t="s">
        <v>933</v>
      </c>
      <c r="K114" s="10" t="s">
        <v>934</v>
      </c>
      <c r="L114" s="10" t="s">
        <v>935</v>
      </c>
      <c r="M114" s="10" t="s">
        <v>936</v>
      </c>
    </row>
    <row r="115" s="1" customFormat="1" spans="1:13">
      <c r="A115" s="9">
        <v>45508.9039699074</v>
      </c>
      <c r="B115" s="10" t="s">
        <v>937</v>
      </c>
      <c r="C115" s="10" t="s">
        <v>385</v>
      </c>
      <c r="D115" s="10" t="s">
        <v>337</v>
      </c>
      <c r="E115" s="10" t="s">
        <v>205</v>
      </c>
      <c r="F115" s="10" t="s">
        <v>206</v>
      </c>
      <c r="G115" s="10"/>
      <c r="H115" s="10"/>
      <c r="I115" s="10" t="s">
        <v>344</v>
      </c>
      <c r="J115" s="11" t="s">
        <v>938</v>
      </c>
      <c r="K115" s="10" t="s">
        <v>939</v>
      </c>
      <c r="L115" s="10" t="s">
        <v>940</v>
      </c>
      <c r="M115" s="10" t="s">
        <v>941</v>
      </c>
    </row>
    <row r="116" s="1" customFormat="1" spans="1:13">
      <c r="A116" s="9">
        <v>45509.4955555556</v>
      </c>
      <c r="B116" s="10" t="s">
        <v>942</v>
      </c>
      <c r="C116" s="10" t="s">
        <v>943</v>
      </c>
      <c r="D116" s="10" t="s">
        <v>337</v>
      </c>
      <c r="E116" s="10" t="s">
        <v>207</v>
      </c>
      <c r="F116" s="10" t="s">
        <v>207</v>
      </c>
      <c r="G116" s="10"/>
      <c r="H116" s="10"/>
      <c r="I116" s="10" t="s">
        <v>344</v>
      </c>
      <c r="J116" s="11" t="s">
        <v>944</v>
      </c>
      <c r="K116" s="10" t="s">
        <v>945</v>
      </c>
      <c r="L116" s="10" t="s">
        <v>207</v>
      </c>
      <c r="M116" s="10" t="s">
        <v>946</v>
      </c>
    </row>
    <row r="117" spans="1:13">
      <c r="A117" s="9">
        <v>45509.6522453704</v>
      </c>
      <c r="B117" s="10" t="s">
        <v>947</v>
      </c>
      <c r="C117" s="10" t="s">
        <v>820</v>
      </c>
      <c r="D117" s="10" t="s">
        <v>337</v>
      </c>
      <c r="E117" s="10" t="s">
        <v>208</v>
      </c>
      <c r="F117" s="10" t="s">
        <v>208</v>
      </c>
      <c r="G117" s="10" t="s">
        <v>361</v>
      </c>
      <c r="H117" s="10"/>
      <c r="I117" s="10"/>
      <c r="J117" s="11" t="s">
        <v>948</v>
      </c>
      <c r="K117" s="10" t="s">
        <v>949</v>
      </c>
      <c r="L117" s="10" t="s">
        <v>950</v>
      </c>
      <c r="M117" s="10" t="s">
        <v>951</v>
      </c>
    </row>
    <row r="118" spans="1:13">
      <c r="A118" s="9">
        <v>45509.6528356482</v>
      </c>
      <c r="B118" s="10" t="s">
        <v>952</v>
      </c>
      <c r="C118" s="10" t="s">
        <v>739</v>
      </c>
      <c r="D118" s="10" t="s">
        <v>337</v>
      </c>
      <c r="E118" s="10" t="s">
        <v>209</v>
      </c>
      <c r="F118" s="10" t="s">
        <v>209</v>
      </c>
      <c r="G118" s="10"/>
      <c r="H118" s="10" t="s">
        <v>338</v>
      </c>
      <c r="I118" s="10"/>
      <c r="J118" s="11" t="s">
        <v>953</v>
      </c>
      <c r="K118" s="10" t="s">
        <v>954</v>
      </c>
      <c r="L118" s="10" t="s">
        <v>955</v>
      </c>
      <c r="M118" s="10" t="s">
        <v>956</v>
      </c>
    </row>
    <row r="119" spans="1:13">
      <c r="A119" s="9">
        <v>45509.6758217593</v>
      </c>
      <c r="B119" s="10" t="s">
        <v>957</v>
      </c>
      <c r="C119" s="10" t="s">
        <v>958</v>
      </c>
      <c r="D119" s="10" t="s">
        <v>337</v>
      </c>
      <c r="E119" s="10" t="s">
        <v>210</v>
      </c>
      <c r="F119" s="10" t="s">
        <v>211</v>
      </c>
      <c r="G119" s="10"/>
      <c r="H119" s="10"/>
      <c r="I119" s="10" t="s">
        <v>344</v>
      </c>
      <c r="J119" s="11" t="s">
        <v>959</v>
      </c>
      <c r="K119" s="10" t="s">
        <v>960</v>
      </c>
      <c r="L119" s="10" t="s">
        <v>961</v>
      </c>
      <c r="M119" s="10" t="s">
        <v>962</v>
      </c>
    </row>
    <row r="120" spans="1:13">
      <c r="A120" s="9">
        <v>45509.767974537</v>
      </c>
      <c r="B120" s="10" t="s">
        <v>963</v>
      </c>
      <c r="C120" s="10" t="s">
        <v>717</v>
      </c>
      <c r="D120" s="10" t="s">
        <v>337</v>
      </c>
      <c r="E120" s="10" t="s">
        <v>212</v>
      </c>
      <c r="F120" s="10" t="s">
        <v>212</v>
      </c>
      <c r="G120" s="10"/>
      <c r="H120" s="10"/>
      <c r="I120" s="10" t="s">
        <v>344</v>
      </c>
      <c r="J120" s="11" t="s">
        <v>964</v>
      </c>
      <c r="K120" s="10" t="s">
        <v>965</v>
      </c>
      <c r="L120" s="10" t="s">
        <v>966</v>
      </c>
      <c r="M120" s="10"/>
    </row>
    <row r="121" spans="1:13">
      <c r="A121" s="9">
        <v>45511.7429050926</v>
      </c>
      <c r="B121" s="10" t="s">
        <v>967</v>
      </c>
      <c r="C121" s="10" t="s">
        <v>968</v>
      </c>
      <c r="D121" s="10" t="s">
        <v>337</v>
      </c>
      <c r="E121" s="10" t="s">
        <v>213</v>
      </c>
      <c r="F121" s="10" t="s">
        <v>213</v>
      </c>
      <c r="G121" s="10" t="s">
        <v>361</v>
      </c>
      <c r="H121" s="10"/>
      <c r="I121" s="10"/>
      <c r="J121" s="11" t="s">
        <v>969</v>
      </c>
      <c r="K121" s="10" t="s">
        <v>970</v>
      </c>
      <c r="L121" s="10" t="s">
        <v>971</v>
      </c>
      <c r="M121" s="10"/>
    </row>
    <row r="122" spans="1:13">
      <c r="A122" s="6">
        <v>45512.8246527778</v>
      </c>
      <c r="B122" s="5" t="s">
        <v>972</v>
      </c>
      <c r="C122" s="5" t="s">
        <v>973</v>
      </c>
      <c r="D122" s="5" t="s">
        <v>337</v>
      </c>
      <c r="E122" s="5" t="s">
        <v>214</v>
      </c>
      <c r="F122" s="5" t="s">
        <v>215</v>
      </c>
      <c r="G122" s="5"/>
      <c r="H122" s="5"/>
      <c r="I122" s="5" t="s">
        <v>344</v>
      </c>
      <c r="J122" s="4" t="s">
        <v>974</v>
      </c>
      <c r="K122" s="5" t="s">
        <v>975</v>
      </c>
      <c r="L122" s="5" t="s">
        <v>976</v>
      </c>
      <c r="M122" s="5"/>
    </row>
    <row r="123" spans="1:13">
      <c r="A123" s="6">
        <v>45512.8283796296</v>
      </c>
      <c r="B123" s="5" t="s">
        <v>977</v>
      </c>
      <c r="C123" s="5" t="s">
        <v>978</v>
      </c>
      <c r="D123" s="5" t="s">
        <v>337</v>
      </c>
      <c r="E123" s="5" t="s">
        <v>216</v>
      </c>
      <c r="F123" s="5" t="s">
        <v>217</v>
      </c>
      <c r="G123" s="5"/>
      <c r="H123" s="5" t="s">
        <v>338</v>
      </c>
      <c r="I123" s="5" t="s">
        <v>344</v>
      </c>
      <c r="J123" s="4" t="s">
        <v>979</v>
      </c>
      <c r="K123" s="5" t="s">
        <v>980</v>
      </c>
      <c r="L123" s="5" t="s">
        <v>981</v>
      </c>
      <c r="M123" s="5" t="s">
        <v>982</v>
      </c>
    </row>
    <row r="124" spans="13:13">
      <c r="M124"/>
    </row>
    <row r="125" spans="13:13">
      <c r="M125"/>
    </row>
    <row r="126" spans="13:13">
      <c r="M126"/>
    </row>
    <row r="127" spans="13:13">
      <c r="M127"/>
    </row>
    <row r="128" spans="13:13">
      <c r="M128"/>
    </row>
    <row r="129" spans="13:13">
      <c r="M129"/>
    </row>
    <row r="130" spans="13:13">
      <c r="M130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拍卖列表</vt:lpstr>
      <vt:lpstr>交易历史</vt:lpstr>
      <vt:lpstr>队伍总览</vt:lpstr>
      <vt:lpstr>队伍收入状况</vt:lpstr>
      <vt:lpstr>比赛规则</vt:lpstr>
      <vt:lpstr>第一轮比赛</vt:lpstr>
      <vt:lpstr>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江山</cp:lastModifiedBy>
  <dcterms:created xsi:type="dcterms:W3CDTF">2024-08-06T18:06:00Z</dcterms:created>
  <dcterms:modified xsi:type="dcterms:W3CDTF">2024-08-08T16:54:37Z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AA035E1506DD546211C3AF669F07CDD7_41</vt:lpwstr>
  </property>
  <property fmtid="{D5CDD505-2E9C-101B-9397-08002B2CF9AE}" pid="3" name="KSOProductBuildVer">
    <vt:lpwstr>2052-12.1.0.17147</vt:lpwstr>
  </property>
</Properties>
</file>