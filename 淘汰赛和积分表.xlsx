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程和积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第一轮（12进8）赛程表</t>
        </is>
      </c>
    </row>
    <row r="2">
      <c r="A2" s="1" t="inlineStr">
        <is>
          <t>比赛对阵</t>
        </is>
      </c>
      <c r="B2" s="1" t="inlineStr">
        <is>
          <t>队伍1得分</t>
        </is>
      </c>
      <c r="C2" s="1" t="inlineStr">
        <is>
          <t>队伍2得分</t>
        </is>
      </c>
      <c r="D2" s="1" t="inlineStr">
        <is>
          <t>队伍1</t>
        </is>
      </c>
      <c r="E2" s="1" t="inlineStr">
        <is>
          <t>队伍2</t>
        </is>
      </c>
      <c r="F2" s="1" t="inlineStr">
        <is>
          <t>比赛结果</t>
        </is>
      </c>
    </row>
    <row r="3">
      <c r="A3" t="inlineStr">
        <is>
          <t>X1队 vs DK神猪无敌小偷队</t>
        </is>
      </c>
      <c r="B3" t="inlineStr"/>
      <c r="C3" t="inlineStr"/>
      <c r="D3" t="inlineStr">
        <is>
          <t>X1队</t>
        </is>
      </c>
      <c r="E3" t="inlineStr">
        <is>
          <t>DK神猪无敌小偷队</t>
        </is>
      </c>
      <c r="F3">
        <f>IF(B3&gt;C3, "X1队", IF(B3&lt;C3, "DK神猪无敌小偷队", "平局"))</f>
        <v/>
      </c>
    </row>
    <row r="4">
      <c r="A4" t="inlineStr">
        <is>
          <t>DK小伙子和老朋友队 vs DK瘦巴巴的老爷队</t>
        </is>
      </c>
      <c r="B4" t="inlineStr"/>
      <c r="C4" t="inlineStr"/>
      <c r="D4" t="inlineStr">
        <is>
          <t>DK小伙子和老朋友队</t>
        </is>
      </c>
      <c r="E4" t="inlineStr">
        <is>
          <t>DK瘦巴巴的老爷队</t>
        </is>
      </c>
      <c r="F4">
        <f>IF(B4&gt;C4, "DK小伙子和老朋友队", IF(B4&lt;C4, "DK瘦巴巴的老爷队", "平局"))</f>
        <v/>
      </c>
    </row>
    <row r="5">
      <c r="A5" t="inlineStr">
        <is>
          <t>DK&amp;YQS海军四大将队 vs 刚铎队</t>
        </is>
      </c>
      <c r="B5" t="inlineStr"/>
      <c r="C5" t="inlineStr"/>
      <c r="D5" t="inlineStr">
        <is>
          <t>DK&amp;YQS海军四大将队</t>
        </is>
      </c>
      <c r="E5" t="inlineStr">
        <is>
          <t>刚铎队</t>
        </is>
      </c>
      <c r="F5">
        <f>IF(B5&gt;C5, "DK&amp;YQS海军四大将队", IF(B5&lt;C5, "刚铎队", "平局"))</f>
        <v/>
      </c>
    </row>
    <row r="6">
      <c r="A6" t="inlineStr">
        <is>
          <t>MINI队 vs 疯狂星期四队</t>
        </is>
      </c>
      <c r="B6" t="inlineStr"/>
      <c r="C6" t="inlineStr"/>
      <c r="D6" t="inlineStr">
        <is>
          <t>MINI队</t>
        </is>
      </c>
      <c r="E6" t="inlineStr">
        <is>
          <t>疯狂星期四队</t>
        </is>
      </c>
      <c r="F6">
        <f>IF(B6&gt;C6, "MINI队", IF(B6&lt;C6, "疯狂星期四队", "平局"))</f>
        <v/>
      </c>
    </row>
    <row r="7">
      <c r="A7" t="inlineStr">
        <is>
          <t>水果沙拉队 vs DK红薯骑士队</t>
        </is>
      </c>
      <c r="B7" t="inlineStr"/>
      <c r="C7" t="inlineStr"/>
      <c r="D7" t="inlineStr">
        <is>
          <t>水果沙拉队</t>
        </is>
      </c>
      <c r="E7" t="inlineStr">
        <is>
          <t>DK红薯骑士队</t>
        </is>
      </c>
      <c r="F7">
        <f>IF(B7&gt;C7, "水果沙拉队", IF(B7&lt;C7, "DK红薯骑士队", "平局"))</f>
        <v/>
      </c>
    </row>
    <row r="8">
      <c r="A8" t="inlineStr">
        <is>
          <t>圣殿哈哈队 vs 乐观王国队</t>
        </is>
      </c>
      <c r="B8" t="inlineStr"/>
      <c r="C8" t="inlineStr"/>
      <c r="D8" t="inlineStr">
        <is>
          <t>圣殿哈哈队</t>
        </is>
      </c>
      <c r="E8" t="inlineStr">
        <is>
          <t>乐观王国队</t>
        </is>
      </c>
      <c r="F8">
        <f>IF(B8&gt;C8, "圣殿哈哈队", IF(B8&lt;C8, "乐观王国队", "平局"))</f>
        <v/>
      </c>
    </row>
    <row r="10">
      <c r="A10" s="1" t="inlineStr">
        <is>
          <t>积分表</t>
        </is>
      </c>
      <c r="F10" s="1" t="n"/>
    </row>
    <row r="11">
      <c r="A11" s="1" t="inlineStr">
        <is>
          <t>队伍名称</t>
        </is>
      </c>
      <c r="B11" s="1" t="inlineStr">
        <is>
          <t>小局得分</t>
        </is>
      </c>
      <c r="C11" s="1" t="inlineStr">
        <is>
          <t>小局失分</t>
        </is>
      </c>
      <c r="D11" s="1" t="inlineStr">
        <is>
          <t>净胜分</t>
        </is>
      </c>
      <c r="E11" s="1" t="inlineStr">
        <is>
          <t>胜者组或者败者组</t>
        </is>
      </c>
      <c r="F11" s="1" t="n"/>
    </row>
    <row r="12">
      <c r="A12" t="inlineStr">
        <is>
          <t>DK&amp;YQS海军四大将队</t>
        </is>
      </c>
      <c r="B12">
        <f>SUMIF($D$3:$D$8,"DK&amp;YQS海军四大将队",$B$3:$B$8)+SUMIF($E$3:$E$8,"DK&amp;YQS海军四大将队",$C$3:$C$8)</f>
        <v/>
      </c>
      <c r="C12">
        <f>SUMIF($D$3:$D$8,"DK&amp;YQS海军四大将队",$C$3:$C$8)+SUMIF($E$3:$E$8,"DK&amp;YQS海军四大将队",$B$3:$B$8)</f>
        <v/>
      </c>
      <c r="D12">
        <f>B12-C12</f>
        <v/>
      </c>
      <c r="E12" t="inlineStr"/>
    </row>
    <row r="13">
      <c r="A13" t="inlineStr">
        <is>
          <t>DK小伙子和老朋友队</t>
        </is>
      </c>
      <c r="B13">
        <f>SUMIF($D$3:$D$8,"DK小伙子和老朋友队",$B$3:$B$8)+SUMIF($E$3:$E$8,"DK小伙子和老朋友队",$C$3:$C$8)</f>
        <v/>
      </c>
      <c r="C13">
        <f>SUMIF($D$3:$D$8,"DK小伙子和老朋友队",$C$3:$C$8)+SUMIF($E$3:$E$8,"DK小伙子和老朋友队",$B$3:$B$8)</f>
        <v/>
      </c>
      <c r="D13">
        <f>B13-C13</f>
        <v/>
      </c>
      <c r="E13" t="inlineStr"/>
    </row>
    <row r="14">
      <c r="A14" t="inlineStr">
        <is>
          <t>DK瘦巴巴的老爷队</t>
        </is>
      </c>
      <c r="B14">
        <f>SUMIF($D$3:$D$8,"DK瘦巴巴的老爷队",$B$3:$B$8)+SUMIF($E$3:$E$8,"DK瘦巴巴的老爷队",$C$3:$C$8)</f>
        <v/>
      </c>
      <c r="C14">
        <f>SUMIF($D$3:$D$8,"DK瘦巴巴的老爷队",$C$3:$C$8)+SUMIF($E$3:$E$8,"DK瘦巴巴的老爷队",$B$3:$B$8)</f>
        <v/>
      </c>
      <c r="D14">
        <f>B14-C14</f>
        <v/>
      </c>
      <c r="E14" t="inlineStr"/>
    </row>
    <row r="15">
      <c r="A15" t="inlineStr">
        <is>
          <t>DK神猪无敌小偷队</t>
        </is>
      </c>
      <c r="B15">
        <f>SUMIF($D$3:$D$8,"DK神猪无敌小偷队",$B$3:$B$8)+SUMIF($E$3:$E$8,"DK神猪无敌小偷队",$C$3:$C$8)</f>
        <v/>
      </c>
      <c r="C15">
        <f>SUMIF($D$3:$D$8,"DK神猪无敌小偷队",$C$3:$C$8)+SUMIF($E$3:$E$8,"DK神猪无敌小偷队",$B$3:$B$8)</f>
        <v/>
      </c>
      <c r="D15">
        <f>B15-C15</f>
        <v/>
      </c>
      <c r="E15" t="inlineStr"/>
    </row>
    <row r="16">
      <c r="A16" t="inlineStr">
        <is>
          <t>DK红薯骑士队</t>
        </is>
      </c>
      <c r="B16">
        <f>SUMIF($D$3:$D$8,"DK红薯骑士队",$B$3:$B$8)+SUMIF($E$3:$E$8,"DK红薯骑士队",$C$3:$C$8)</f>
        <v/>
      </c>
      <c r="C16">
        <f>SUMIF($D$3:$D$8,"DK红薯骑士队",$C$3:$C$8)+SUMIF($E$3:$E$8,"DK红薯骑士队",$B$3:$B$8)</f>
        <v/>
      </c>
      <c r="D16">
        <f>B16-C16</f>
        <v/>
      </c>
      <c r="E16" t="inlineStr"/>
    </row>
    <row r="17">
      <c r="A17" t="inlineStr">
        <is>
          <t>MINI队</t>
        </is>
      </c>
      <c r="B17">
        <f>SUMIF($D$3:$D$8,"MINI队",$B$3:$B$8)+SUMIF($E$3:$E$8,"MINI队",$C$3:$C$8)</f>
        <v/>
      </c>
      <c r="C17">
        <f>SUMIF($D$3:$D$8,"MINI队",$C$3:$C$8)+SUMIF($E$3:$E$8,"MINI队",$B$3:$B$8)</f>
        <v/>
      </c>
      <c r="D17">
        <f>B17-C17</f>
        <v/>
      </c>
      <c r="E17" t="inlineStr"/>
    </row>
    <row r="18">
      <c r="A18" t="inlineStr">
        <is>
          <t>X1队</t>
        </is>
      </c>
      <c r="B18">
        <f>SUMIF($D$3:$D$8,"X1队",$B$3:$B$8)+SUMIF($E$3:$E$8,"X1队",$C$3:$C$8)</f>
        <v/>
      </c>
      <c r="C18">
        <f>SUMIF($D$3:$D$8,"X1队",$C$3:$C$8)+SUMIF($E$3:$E$8,"X1队",$B$3:$B$8)</f>
        <v/>
      </c>
      <c r="D18">
        <f>B18-C18</f>
        <v/>
      </c>
      <c r="E18" t="inlineStr"/>
    </row>
    <row r="19">
      <c r="A19" t="inlineStr">
        <is>
          <t>乐观王国队</t>
        </is>
      </c>
      <c r="B19">
        <f>SUMIF($D$3:$D$8,"乐观王国队",$B$3:$B$8)+SUMIF($E$3:$E$8,"乐观王国队",$C$3:$C$8)</f>
        <v/>
      </c>
      <c r="C19">
        <f>SUMIF($D$3:$D$8,"乐观王国队",$C$3:$C$8)+SUMIF($E$3:$E$8,"乐观王国队",$B$3:$B$8)</f>
        <v/>
      </c>
      <c r="D19">
        <f>B19-C19</f>
        <v/>
      </c>
      <c r="E19" t="inlineStr"/>
    </row>
    <row r="20">
      <c r="A20" t="inlineStr">
        <is>
          <t>刚铎队</t>
        </is>
      </c>
      <c r="B20">
        <f>SUMIF($D$3:$D$8,"刚铎队",$B$3:$B$8)+SUMIF($E$3:$E$8,"刚铎队",$C$3:$C$8)</f>
        <v/>
      </c>
      <c r="C20">
        <f>SUMIF($D$3:$D$8,"刚铎队",$C$3:$C$8)+SUMIF($E$3:$E$8,"刚铎队",$B$3:$B$8)</f>
        <v/>
      </c>
      <c r="D20">
        <f>B20-C20</f>
        <v/>
      </c>
      <c r="E20" t="inlineStr"/>
    </row>
    <row r="21">
      <c r="A21" t="inlineStr">
        <is>
          <t>圣殿哈哈队</t>
        </is>
      </c>
      <c r="B21">
        <f>SUMIF($D$3:$D$8,"圣殿哈哈队",$B$3:$B$8)+SUMIF($E$3:$E$8,"圣殿哈哈队",$C$3:$C$8)</f>
        <v/>
      </c>
      <c r="C21">
        <f>SUMIF($D$3:$D$8,"圣殿哈哈队",$C$3:$C$8)+SUMIF($E$3:$E$8,"圣殿哈哈队",$B$3:$B$8)</f>
        <v/>
      </c>
      <c r="D21">
        <f>B21-C21</f>
        <v/>
      </c>
      <c r="E21" t="inlineStr"/>
    </row>
    <row r="22">
      <c r="A22" t="inlineStr">
        <is>
          <t>水果沙拉队</t>
        </is>
      </c>
      <c r="B22">
        <f>SUMIF($D$3:$D$8,"水果沙拉队",$B$3:$B$8)+SUMIF($E$3:$E$8,"水果沙拉队",$C$3:$C$8)</f>
        <v/>
      </c>
      <c r="C22">
        <f>SUMIF($D$3:$D$8,"水果沙拉队",$C$3:$C$8)+SUMIF($E$3:$E$8,"水果沙拉队",$B$3:$B$8)</f>
        <v/>
      </c>
      <c r="D22">
        <f>B22-C22</f>
        <v/>
      </c>
      <c r="E22" t="inlineStr"/>
    </row>
    <row r="23">
      <c r="A23" t="inlineStr">
        <is>
          <t>疯狂星期四队</t>
        </is>
      </c>
      <c r="B23">
        <f>SUMIF($D$3:$D$8,"疯狂星期四队",$B$3:$B$8)+SUMIF($E$3:$E$8,"疯狂星期四队",$C$3:$C$8)</f>
        <v/>
      </c>
      <c r="C23">
        <f>SUMIF($D$3:$D$8,"疯狂星期四队",$C$3:$C$8)+SUMIF($E$3:$E$8,"疯狂星期四队",$B$3:$B$8)</f>
        <v/>
      </c>
      <c r="D23">
        <f>B23-C23</f>
        <v/>
      </c>
      <c r="E23" t="inlineStr"/>
    </row>
    <row r="25">
      <c r="A25" s="1" t="inlineStr">
        <is>
          <t>八分之一决赛（8进4）赛程表</t>
        </is>
      </c>
    </row>
    <row r="26">
      <c r="A26" s="1" t="inlineStr">
        <is>
          <t>比赛对阵</t>
        </is>
      </c>
      <c r="B26" s="1" t="inlineStr">
        <is>
          <t>队伍1得分</t>
        </is>
      </c>
      <c r="C26" s="1" t="inlineStr">
        <is>
          <t>队伍2得分</t>
        </is>
      </c>
      <c r="D26" s="1" t="inlineStr">
        <is>
          <t>队伍1</t>
        </is>
      </c>
      <c r="E26" s="1" t="inlineStr">
        <is>
          <t>队伍2</t>
        </is>
      </c>
      <c r="F26" s="1" t="inlineStr">
        <is>
          <t>比赛结果</t>
        </is>
      </c>
    </row>
    <row r="27">
      <c r="A27" t="inlineStr">
        <is>
          <t>胜者1 vs 胜者2</t>
        </is>
      </c>
      <c r="B27" t="inlineStr"/>
      <c r="C27" t="inlineStr"/>
      <c r="D27" t="inlineStr">
        <is>
          <t>胜者1</t>
        </is>
      </c>
      <c r="E27" t="inlineStr">
        <is>
          <t>胜者2</t>
        </is>
      </c>
      <c r="F27" t="inlineStr"/>
    </row>
    <row r="28">
      <c r="A28" t="inlineStr">
        <is>
          <t>胜者2 vs 胜者3</t>
        </is>
      </c>
      <c r="B28" t="inlineStr"/>
      <c r="C28" t="inlineStr"/>
      <c r="D28" t="inlineStr">
        <is>
          <t>胜者2</t>
        </is>
      </c>
      <c r="E28" t="inlineStr">
        <is>
          <t>胜者3</t>
        </is>
      </c>
      <c r="F28" t="inlineStr"/>
    </row>
    <row r="29">
      <c r="A29" t="inlineStr">
        <is>
          <t>胜者3 vs 胜者4</t>
        </is>
      </c>
      <c r="B29" t="inlineStr"/>
      <c r="C29" t="inlineStr"/>
      <c r="D29" t="inlineStr">
        <is>
          <t>胜者3</t>
        </is>
      </c>
      <c r="E29" t="inlineStr">
        <is>
          <t>胜者4</t>
        </is>
      </c>
      <c r="F29" t="inlineStr"/>
    </row>
    <row r="30">
      <c r="A30" t="inlineStr">
        <is>
          <t>胜者4 vs 胜者5</t>
        </is>
      </c>
      <c r="B30" t="inlineStr"/>
      <c r="C30" t="inlineStr"/>
      <c r="D30" t="inlineStr">
        <is>
          <t>胜者4</t>
        </is>
      </c>
      <c r="E30" t="inlineStr">
        <is>
          <t>胜者5</t>
        </is>
      </c>
      <c r="F30" t="inlineStr"/>
    </row>
    <row r="32">
      <c r="A32" s="1" t="inlineStr">
        <is>
          <t>半决赛（4进2）赛程表</t>
        </is>
      </c>
    </row>
    <row r="33">
      <c r="A33" s="1" t="inlineStr">
        <is>
          <t>比赛对阵</t>
        </is>
      </c>
      <c r="B33" s="1" t="inlineStr">
        <is>
          <t>队伍1得分</t>
        </is>
      </c>
      <c r="C33" s="1" t="inlineStr">
        <is>
          <t>队伍2得分</t>
        </is>
      </c>
      <c r="D33" s="1" t="inlineStr">
        <is>
          <t>队伍1</t>
        </is>
      </c>
      <c r="E33" s="1" t="inlineStr">
        <is>
          <t>队伍2</t>
        </is>
      </c>
      <c r="F33" s="1" t="inlineStr">
        <is>
          <t>比赛结果</t>
        </is>
      </c>
    </row>
    <row r="34">
      <c r="A34" t="inlineStr">
        <is>
          <t>半决赛胜者1 vs 半决赛胜者2</t>
        </is>
      </c>
      <c r="B34" t="inlineStr"/>
      <c r="C34" t="inlineStr"/>
      <c r="D34" t="inlineStr">
        <is>
          <t>半决赛胜者1</t>
        </is>
      </c>
      <c r="E34" t="inlineStr">
        <is>
          <t>半决赛胜者2</t>
        </is>
      </c>
      <c r="F34" t="inlineStr"/>
    </row>
    <row r="35">
      <c r="A35" t="inlineStr">
        <is>
          <t>半决赛胜者2 vs 半决赛胜者3</t>
        </is>
      </c>
      <c r="B35" t="inlineStr"/>
      <c r="C35" t="inlineStr"/>
      <c r="D35" t="inlineStr">
        <is>
          <t>半决赛胜者2</t>
        </is>
      </c>
      <c r="E35" t="inlineStr">
        <is>
          <t>半决赛胜者3</t>
        </is>
      </c>
      <c r="F35" t="inlineStr"/>
    </row>
    <row r="37">
      <c r="A37" s="1" t="inlineStr">
        <is>
          <t>第三名争夺战</t>
        </is>
      </c>
    </row>
    <row r="38">
      <c r="A38" s="1" t="inlineStr">
        <is>
          <t>比赛对阵</t>
        </is>
      </c>
      <c r="B38" s="1" t="inlineStr">
        <is>
          <t>队伍1得分</t>
        </is>
      </c>
      <c r="C38" s="1" t="inlineStr">
        <is>
          <t>队伍2得分</t>
        </is>
      </c>
      <c r="D38" s="1" t="inlineStr">
        <is>
          <t>队伍1</t>
        </is>
      </c>
      <c r="E38" s="1" t="inlineStr">
        <is>
          <t>队伍2</t>
        </is>
      </c>
      <c r="F38" s="1" t="inlineStr">
        <is>
          <t>比赛结果</t>
        </is>
      </c>
    </row>
    <row r="39">
      <c r="A39" t="inlineStr">
        <is>
          <t>半决赛失败者1 vs 半决赛失败者2</t>
        </is>
      </c>
      <c r="B39" t="inlineStr"/>
      <c r="C39" t="inlineStr"/>
      <c r="D39" t="inlineStr">
        <is>
          <t>半决赛失败者1</t>
        </is>
      </c>
      <c r="E39" t="inlineStr">
        <is>
          <t>半决赛失败者2</t>
        </is>
      </c>
      <c r="F39" t="inlineStr"/>
    </row>
    <row r="41">
      <c r="A41" s="1" t="inlineStr">
        <is>
          <t>决赛</t>
        </is>
      </c>
    </row>
    <row r="42">
      <c r="A42" s="1" t="inlineStr">
        <is>
          <t>比赛对阵</t>
        </is>
      </c>
      <c r="B42" s="1" t="inlineStr">
        <is>
          <t>队伍1得分</t>
        </is>
      </c>
      <c r="C42" s="1" t="inlineStr">
        <is>
          <t>队伍2得分</t>
        </is>
      </c>
      <c r="D42" s="1" t="inlineStr">
        <is>
          <t>队伍1</t>
        </is>
      </c>
      <c r="E42" s="1" t="inlineStr">
        <is>
          <t>队伍2</t>
        </is>
      </c>
      <c r="F42" s="1" t="inlineStr">
        <is>
          <t>比赛结果</t>
        </is>
      </c>
    </row>
    <row r="43">
      <c r="A43" t="inlineStr">
        <is>
          <t>半决赛胜者1 vs 半决赛胜者2</t>
        </is>
      </c>
      <c r="B43" t="inlineStr"/>
      <c r="C43" t="inlineStr"/>
      <c r="D43" t="inlineStr">
        <is>
          <t>半决赛胜者1</t>
        </is>
      </c>
      <c r="E43" t="inlineStr">
        <is>
          <t>半决赛胜者2</t>
        </is>
      </c>
      <c r="F43" t="inlineStr"/>
    </row>
  </sheetData>
  <mergeCells count="6">
    <mergeCell ref="A41:F41"/>
    <mergeCell ref="A10:E10"/>
    <mergeCell ref="A1:F1"/>
    <mergeCell ref="A37:F37"/>
    <mergeCell ref="A32:F32"/>
    <mergeCell ref="A25:F25"/>
  </mergeCells>
  <dataValidations count="1">
    <dataValidation sqref="E12 E13 E14 E15 E16 E17 E18 E19 E20 E21 E22 E23" showDropDown="0" showInputMessage="0" showErrorMessage="0" allowBlank="1" type="list">
      <formula1>"胜者组,败者组"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2024-07-03T15:48:24Z</dcterms:created>
  <dcterms:modified xmlns:dcterms="http://purl.org/dc/terms/" xmlns:xsi="http://www.w3.org/2001/XMLSchema-instance" xsi:type="dcterms:W3CDTF">2024-07-03T15:48:24Z</dcterms:modified>
</cp:coreProperties>
</file>